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tos\Material\Informática Aplicada a Aeronáutica\Exercicios\"/>
    </mc:Choice>
  </mc:AlternateContent>
  <xr:revisionPtr revIDLastSave="0" documentId="13_ncr:1_{7AD01B79-9BBE-4C7B-B64E-A583972912C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Ex1_Operadores" sheetId="1" r:id="rId1"/>
    <sheet name="Ex2_SOMA" sheetId="2" r:id="rId2"/>
    <sheet name="Ex3_MEDIA" sheetId="3" r:id="rId3"/>
    <sheet name="Ex4_MEDIANA" sheetId="4" r:id="rId4"/>
    <sheet name="Ex5_SE_Simples" sheetId="5" r:id="rId5"/>
    <sheet name="Ex6_Revisa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 a="1"/>
  <c r="F13" i="3"/>
  <c r="C13" i="3"/>
  <c r="D13" i="3"/>
  <c r="E13" i="3"/>
  <c r="B13" i="3"/>
  <c r="F9" i="3"/>
  <c r="F10" i="3"/>
  <c r="F11" i="3"/>
  <c r="F12" i="3"/>
  <c r="F8" i="3"/>
  <c r="F9" i="5"/>
  <c r="F10" i="5"/>
  <c r="F11" i="5"/>
  <c r="F12" i="5"/>
  <c r="F13" i="5"/>
  <c r="F14" i="5"/>
  <c r="F8" i="5"/>
  <c r="E9" i="5"/>
  <c r="E10" i="5"/>
  <c r="E11" i="5"/>
  <c r="E12" i="5"/>
  <c r="E13" i="5"/>
  <c r="E14" i="5"/>
  <c r="E8" i="5"/>
  <c r="F13" i="1"/>
  <c r="F12" i="1"/>
  <c r="F11" i="1"/>
  <c r="F10" i="1"/>
  <c r="F9" i="1"/>
  <c r="F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<sst xmlns="http://schemas.openxmlformats.org/spreadsheetml/2006/main" count="216" uniqueCount="181">
  <si>
    <t>Exercício 1 — Operadores aritméticos</t>
  </si>
  <si>
    <t>Contexto: registro de consumo, autonomia e custos de uma aeronave de instrução.</t>
  </si>
  <si>
    <t>Complete as células amarelas usando apenas os operadores +, -, * e /. Não digite o resultado manualmente: escreva uma fórmula.</t>
  </si>
  <si>
    <t>Item</t>
  </si>
  <si>
    <t>Valor 1</t>
  </si>
  <si>
    <t>Valor 2</t>
  </si>
  <si>
    <t>Unidade</t>
  </si>
  <si>
    <t>Operação solicitada</t>
  </si>
  <si>
    <t>Fórmula / resposta</t>
  </si>
  <si>
    <t>Questão</t>
  </si>
  <si>
    <t>Combustível disponível</t>
  </si>
  <si>
    <t>L</t>
  </si>
  <si>
    <t>Subtrair o consumo do total abastecido</t>
  </si>
  <si>
    <t>Quanto combustível restou?</t>
  </si>
  <si>
    <t>Tempo total de voo</t>
  </si>
  <si>
    <t>h</t>
  </si>
  <si>
    <t>Somar os dois trechos</t>
  </si>
  <si>
    <t>Qual foi o tempo total?</t>
  </si>
  <si>
    <t>Consumo estimado</t>
  </si>
  <si>
    <t>Multiplicar consumo horário por duração</t>
  </si>
  <si>
    <t>Quantos litros serão consumidos?</t>
  </si>
  <si>
    <t>Custo por litro</t>
  </si>
  <si>
    <t>R$</t>
  </si>
  <si>
    <t>Multiplicar preço por quantidade</t>
  </si>
  <si>
    <t>Qual é o custo do abastecimento?</t>
  </si>
  <si>
    <t>Velocidade média</t>
  </si>
  <si>
    <t>km/h</t>
  </si>
  <si>
    <t>Dividir distância pelo tempo</t>
  </si>
  <si>
    <t>Qual foi a velocidade média?</t>
  </si>
  <si>
    <t>Carga disponível</t>
  </si>
  <si>
    <t>kg</t>
  </si>
  <si>
    <t>Dividir igualmente entre quatro posições</t>
  </si>
  <si>
    <t>Quantos kg por posição?</t>
  </si>
  <si>
    <t>Desafio: na célula F15, calcule o custo por hora do voo usando o custo total do abastecimento e o tempo total calculado acima.</t>
  </si>
  <si>
    <t>Exercício 2 — Função SOMA</t>
  </si>
  <si>
    <t>Contexto: consolidação das horas de voo realizadas por uma frota de treinamento durante a semana.</t>
  </si>
  <si>
    <t>Use a função SOMA para preencher os totais amarelos. Evite somar célula por célula quando um intervalo puder ser usado.</t>
  </si>
  <si>
    <t>Prefixo</t>
  </si>
  <si>
    <t>Segunda</t>
  </si>
  <si>
    <t>Terça</t>
  </si>
  <si>
    <t>Quarta</t>
  </si>
  <si>
    <t>Quinta</t>
  </si>
  <si>
    <t>Sexta</t>
  </si>
  <si>
    <t>Total semanal</t>
  </si>
  <si>
    <t>Observação</t>
  </si>
  <si>
    <t>PR-IAA</t>
  </si>
  <si>
    <t>Aeronave de instrução básica</t>
  </si>
  <si>
    <t>PR-IAB</t>
  </si>
  <si>
    <t>Treinamento por instrumentos</t>
  </si>
  <si>
    <t>PT-IAC</t>
  </si>
  <si>
    <t>Treinamento multimotor</t>
  </si>
  <si>
    <t>PR-IAD</t>
  </si>
  <si>
    <t>Inspeção concluída na segunda</t>
  </si>
  <si>
    <t>PS-IAE</t>
  </si>
  <si>
    <t>Treinamento avançado</t>
  </si>
  <si>
    <t>Total diário</t>
  </si>
  <si>
    <t>Use SOMA em cada coluna</t>
  </si>
  <si>
    <t>Pergunta</t>
  </si>
  <si>
    <t>Resposta</t>
  </si>
  <si>
    <t>Qual foi o total de horas voadas por toda a frota?</t>
  </si>
  <si>
    <t>Qual dia concentrou mais horas de voo?</t>
  </si>
  <si>
    <t>Exercício 3 — Função MÉDIA</t>
  </si>
  <si>
    <t>Contexto: análise do desempenho de tempos de atendimento em ordens de serviço no hangar.</t>
  </si>
  <si>
    <t>Calcule a média de horas de cada equipe e a média de cada tipo de serviço. Use a função MÉDIA nas células amarelas.</t>
  </si>
  <si>
    <t>Equipe</t>
  </si>
  <si>
    <t>Troca de pneu</t>
  </si>
  <si>
    <t>Inspeção visual</t>
  </si>
  <si>
    <t>Teste de rádio</t>
  </si>
  <si>
    <t>Troca de óleo</t>
  </si>
  <si>
    <t>Média da equipe</t>
  </si>
  <si>
    <t>Meta (h)</t>
  </si>
  <si>
    <t>Situação observada</t>
  </si>
  <si>
    <t>Alfa</t>
  </si>
  <si>
    <t>Compare a média com a meta</t>
  </si>
  <si>
    <t>Bravo</t>
  </si>
  <si>
    <t>Charlie</t>
  </si>
  <si>
    <t>Delta</t>
  </si>
  <si>
    <t>Eco</t>
  </si>
  <si>
    <t>Média do serviço</t>
  </si>
  <si>
    <t>Calcule as médias verticais</t>
  </si>
  <si>
    <t>Análise</t>
  </si>
  <si>
    <t>Qual equipe apresentou o menor tempo médio?</t>
  </si>
  <si>
    <t>Exercício 4 — Função MEDIANA</t>
  </si>
  <si>
    <t>Contexto: avaliação de tempos de espera de aeronaves por disponibilidade de peças.</t>
  </si>
  <si>
    <t>Use MEDIANA para encontrar o valor central. Depois compare média e mediana e identifique o efeito de valores extremos.</t>
  </si>
  <si>
    <t>Ordem de serviço</t>
  </si>
  <si>
    <t>Componente</t>
  </si>
  <si>
    <t>Dias de espera</t>
  </si>
  <si>
    <t>Fornecedor</t>
  </si>
  <si>
    <t>Prioridade</t>
  </si>
  <si>
    <t>Cálculo solicitado</t>
  </si>
  <si>
    <t>OS-401</t>
  </si>
  <si>
    <t>Filtro hidráulico</t>
  </si>
  <si>
    <t>AeroParts</t>
  </si>
  <si>
    <t>Normal</t>
  </si>
  <si>
    <t>Mediana dos dias</t>
  </si>
  <si>
    <t>OS-402</t>
  </si>
  <si>
    <t>Pneu principal</t>
  </si>
  <si>
    <t>FlySupply</t>
  </si>
  <si>
    <t>Alta</t>
  </si>
  <si>
    <t>Média dos dias</t>
  </si>
  <si>
    <t>OS-403</t>
  </si>
  <si>
    <t>Sensor de temperatura</t>
  </si>
  <si>
    <t>Diferença: média - mediana</t>
  </si>
  <si>
    <t>OS-404</t>
  </si>
  <si>
    <t>Bomba de combustível</t>
  </si>
  <si>
    <t>JetLog</t>
  </si>
  <si>
    <t>OS-405</t>
  </si>
  <si>
    <t>Válvula pneumática</t>
  </si>
  <si>
    <t>Importação</t>
  </si>
  <si>
    <t>Crítica</t>
  </si>
  <si>
    <t>OS-406</t>
  </si>
  <si>
    <t>Pastilha de freio</t>
  </si>
  <si>
    <t>OS-407</t>
  </si>
  <si>
    <t>Lâmpada de navegação</t>
  </si>
  <si>
    <t>Baixa</t>
  </si>
  <si>
    <t>OS-408</t>
  </si>
  <si>
    <t>Mangueira de óleo</t>
  </si>
  <si>
    <t>OS-409</t>
  </si>
  <si>
    <t>Alternador</t>
  </si>
  <si>
    <t>Pergunta de interpretação</t>
  </si>
  <si>
    <t>O prazo de 18 dias altera mais a média ou a mediana? Explique em uma frase.</t>
  </si>
  <si>
    <t>Exercício 5 — Função SE simples</t>
  </si>
  <si>
    <t>Contexto: controle de vencimento da inspeção de 100 horas de aeronaves em operação.</t>
  </si>
  <si>
    <t>Calcule as horas restantes e use SE para retornar “LIBERADO” quando as horas voadas forem menores que 100; caso contrário, retorne “INSPEÇÃO OBRIGATÓRIA”.</t>
  </si>
  <si>
    <t>Modelo</t>
  </si>
  <si>
    <t>Horas desde inspeção</t>
  </si>
  <si>
    <t>Limite (h)</t>
  </si>
  <si>
    <t>Horas restantes</t>
  </si>
  <si>
    <t>Status com SE</t>
  </si>
  <si>
    <t>PR-AAA</t>
  </si>
  <si>
    <t>Cessna 172</t>
  </si>
  <si>
    <t>Próxima do limite</t>
  </si>
  <si>
    <t>PT-BBB</t>
  </si>
  <si>
    <t>Seneca III</t>
  </si>
  <si>
    <t>Uso regular</t>
  </si>
  <si>
    <t>PR-CCC</t>
  </si>
  <si>
    <t>Baron G58</t>
  </si>
  <si>
    <t>Limite ultrapassado</t>
  </si>
  <si>
    <t>PP-DDD</t>
  </si>
  <si>
    <t>Caravan</t>
  </si>
  <si>
    <t>Baixa utilização</t>
  </si>
  <si>
    <t>PR-EEE</t>
  </si>
  <si>
    <t>Cirrus SR22</t>
  </si>
  <si>
    <t>Programar inspeção</t>
  </si>
  <si>
    <t>PS-FFF</t>
  </si>
  <si>
    <t>Robinson R44</t>
  </si>
  <si>
    <t>Exatamente no limite</t>
  </si>
  <si>
    <t>PR-GGG</t>
  </si>
  <si>
    <t>Piper Archer</t>
  </si>
  <si>
    <t>Quantas aeronaves exigem inspeção imediata?</t>
  </si>
  <si>
    <t>Exercício 6 — Revisão integrada</t>
  </si>
  <si>
    <t>Contexto: inspeção de pressão de pneus do trem principal antes da liberação para voo.</t>
  </si>
  <si>
    <t>Aplique operadores, SOMA, MÉDIA, MEDIANA e SE. Faixa aceitável: de 92 a 98 psi, inclusive.</t>
  </si>
  <si>
    <t>Aeronave</t>
  </si>
  <si>
    <t>Pneu</t>
  </si>
  <si>
    <t>Medição 1</t>
  </si>
  <si>
    <t>Medição 2</t>
  </si>
  <si>
    <t>Medição 3</t>
  </si>
  <si>
    <t>Média</t>
  </si>
  <si>
    <t>Mediana</t>
  </si>
  <si>
    <t>Variação máx.-mín.</t>
  </si>
  <si>
    <t>PR-A01</t>
  </si>
  <si>
    <t>Principal esquerdo</t>
  </si>
  <si>
    <t>Principal direito</t>
  </si>
  <si>
    <t>PT-B02</t>
  </si>
  <si>
    <t>PS-C03</t>
  </si>
  <si>
    <t>PR-D04</t>
  </si>
  <si>
    <t>Resumo solicitado</t>
  </si>
  <si>
    <t>Orientação</t>
  </si>
  <si>
    <t>Soma de todas as médias</t>
  </si>
  <si>
    <t>Use SOMA</t>
  </si>
  <si>
    <t>Média geral das medições</t>
  </si>
  <si>
    <t>Use MÉDIA no intervalo de medições</t>
  </si>
  <si>
    <t>Mediana geral das medições</t>
  </si>
  <si>
    <t>Use MEDIANA no intervalo de medições</t>
  </si>
  <si>
    <t>Quantidade de pneus conformes</t>
  </si>
  <si>
    <t>Conte os resultados após preencher o status</t>
  </si>
  <si>
    <t>Maior diferença entre duas médias</t>
  </si>
  <si>
    <t>Use subtração com as médias que escolher</t>
  </si>
  <si>
    <t>Regra para o status: se a média estiver entre 92 e 98 psi, escreva “CONFORME”; caso contrário, “AJUSTAR PRESSÃO”. Você pode usar SE aninhado.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</si>
</sst>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5"/>
      <color rgb="FF17365D"/>
      <name val="Arial"/>
    </font>
    <font>
      <i/>
      <sz val="10"/>
      <color rgb="FF444444"/>
      <name val="Arial"/>
    </font>
    <font>
      <b/>
      <sz val="10"/>
      <color rgb="FF17365D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i/>
      <sz val="10"/>
      <color rgb="FF17365D"/>
      <name val="Arial"/>
    </font>
  </fonts>
  <fills count="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4" borderId="4" xfId="0" applyNumberFormat="1" applyFont="1" applyFill="1" applyBorder="1" applyAlignment="1">
      <alignment vertical="center"/>
    </xf>
    <xf numFmtId="2" fontId="4" fillId="4" borderId="4" xfId="0" applyNumberFormat="1" applyFont="1" applyFill="1" applyBorder="1" applyAlignment="1">
      <alignment vertical="center"/>
    </xf>
    <xf numFmtId="2" fontId="6" fillId="4" borderId="4" xfId="0" applyNumberFormat="1" applyFont="1" applyFill="1" applyBorder="1" applyAlignment="1">
      <alignment vertical="center"/>
    </xf>
    <xf numFmtId="2" fontId="6" fillId="0" borderId="3" xfId="0" applyNumberFormat="1" applyFont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4" fillId="0" borderId="0" xfId="0" applyFont="1"/>
    <xf numFmtId="0" fontId="4" fillId="4" borderId="4" xfId="0" applyFont="1" applyFill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5" borderId="0" xfId="0" applyFont="1" applyFill="1"/>
    <xf numFmtId="0" fontId="4" fillId="4" borderId="4" xfId="0" applyFont="1" applyFill="1" applyBorder="1" applyAlignment="1">
      <alignment wrapText="1"/>
    </xf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4" fillId="0" borderId="0" xfId="0" applyFont="1" applyAlignment="1">
      <alignment wrapText="1"/>
    </xf>
    <xf numFmtId="0" fontId="7" fillId="6" borderId="5" xfId="0" applyFont="1" applyFill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7" fillId="6" borderId="7" xfId="0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G40"/>
  <sheetViews>
    <sheetView showGridLines="0" zoomScale="160" workbookViewId="0">
      <pane ySplit="7" topLeftCell="A8" activePane="bottomLeft" state="frozen"/>
      <selection pane="bottomLeft" activeCell="A15" sqref="A15:G15"/>
    </sheetView>
  </sheetViews>
  <sheetFormatPr defaultRowHeight="14.25"/>
  <cols>
    <col min="1" max="1" width="22" customWidth="1"/>
    <col min="2" max="3" width="13" customWidth="1"/>
    <col min="4" max="4" width="12" customWidth="1"/>
    <col min="5" max="5" width="34" customWidth="1"/>
    <col min="6" max="6" width="20" customWidth="1"/>
    <col min="7" max="7" width="28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.5">
      <c r="A2" s="16" t="s">
        <v>0</v>
      </c>
      <c r="B2" s="14"/>
      <c r="C2" s="14"/>
      <c r="D2" s="14"/>
      <c r="E2" s="14"/>
      <c r="F2" s="14"/>
      <c r="G2" s="14"/>
    </row>
    <row r="3" spans="1:7" ht="33.950000000000003" customHeight="1">
      <c r="A3" s="17" t="s">
        <v>1</v>
      </c>
      <c r="B3" s="14"/>
      <c r="C3" s="14"/>
      <c r="D3" s="14"/>
      <c r="E3" s="14"/>
      <c r="F3" s="14"/>
      <c r="G3" s="14"/>
    </row>
    <row r="4" spans="1:7">
      <c r="A4" s="1"/>
      <c r="B4" s="1"/>
      <c r="C4" s="1"/>
      <c r="D4" s="1"/>
      <c r="E4" s="1"/>
      <c r="F4" s="1"/>
      <c r="G4" s="1"/>
    </row>
    <row r="5" spans="1:7" ht="42" customHeight="1">
      <c r="A5" s="18" t="s">
        <v>2</v>
      </c>
      <c r="B5" s="14"/>
      <c r="C5" s="14"/>
      <c r="D5" s="14"/>
      <c r="E5" s="14"/>
      <c r="F5" s="14"/>
      <c r="G5" s="14"/>
    </row>
    <row r="6" spans="1:7">
      <c r="A6" s="1"/>
      <c r="B6" s="1"/>
      <c r="C6" s="1"/>
      <c r="D6" s="1"/>
      <c r="E6" s="1"/>
      <c r="F6" s="1"/>
      <c r="G6" s="1"/>
    </row>
    <row r="7" spans="1:7" ht="33.950000000000003" customHeight="1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>
      <c r="A8" s="3" t="s">
        <v>10</v>
      </c>
      <c r="B8" s="5">
        <v>180</v>
      </c>
      <c r="C8" s="5">
        <v>42</v>
      </c>
      <c r="D8" s="3" t="s">
        <v>11</v>
      </c>
      <c r="E8" s="3" t="s">
        <v>12</v>
      </c>
      <c r="F8" s="10">
        <f>B8-C8</f>
        <v>138</v>
      </c>
      <c r="G8" s="3" t="s">
        <v>13</v>
      </c>
    </row>
    <row r="9" spans="1:7">
      <c r="A9" s="3" t="s">
        <v>14</v>
      </c>
      <c r="B9" s="5">
        <v>1.8</v>
      </c>
      <c r="C9" s="5">
        <v>0.7</v>
      </c>
      <c r="D9" s="3" t="s">
        <v>15</v>
      </c>
      <c r="E9" s="3" t="s">
        <v>16</v>
      </c>
      <c r="F9" s="10">
        <f>B9+C9</f>
        <v>2.5</v>
      </c>
      <c r="G9" s="3" t="s">
        <v>17</v>
      </c>
    </row>
    <row r="10" spans="1:7">
      <c r="A10" s="3" t="s">
        <v>18</v>
      </c>
      <c r="B10" s="5">
        <v>38</v>
      </c>
      <c r="C10" s="5">
        <v>2.5</v>
      </c>
      <c r="D10" s="3" t="s">
        <v>11</v>
      </c>
      <c r="E10" s="3" t="s">
        <v>19</v>
      </c>
      <c r="F10" s="4">
        <f>B10*C10</f>
        <v>95</v>
      </c>
      <c r="G10" s="3" t="s">
        <v>20</v>
      </c>
    </row>
    <row r="11" spans="1:7">
      <c r="A11" s="3" t="s">
        <v>21</v>
      </c>
      <c r="B11" s="5">
        <v>7.45</v>
      </c>
      <c r="C11" s="5">
        <v>96</v>
      </c>
      <c r="D11" s="3" t="s">
        <v>22</v>
      </c>
      <c r="E11" s="3" t="s">
        <v>23</v>
      </c>
      <c r="F11" s="4">
        <f>B11*C11</f>
        <v>715.2</v>
      </c>
      <c r="G11" s="3" t="s">
        <v>24</v>
      </c>
    </row>
    <row r="12" spans="1:7">
      <c r="A12" s="3" t="s">
        <v>25</v>
      </c>
      <c r="B12" s="5">
        <v>420</v>
      </c>
      <c r="C12" s="5">
        <v>2.8</v>
      </c>
      <c r="D12" s="3" t="s">
        <v>26</v>
      </c>
      <c r="E12" s="3" t="s">
        <v>27</v>
      </c>
      <c r="F12" s="4">
        <f>B12/C12</f>
        <v>150</v>
      </c>
      <c r="G12" s="3" t="s">
        <v>28</v>
      </c>
    </row>
    <row r="13" spans="1:7">
      <c r="A13" s="3" t="s">
        <v>29</v>
      </c>
      <c r="B13" s="5">
        <v>610</v>
      </c>
      <c r="C13" s="5">
        <v>4</v>
      </c>
      <c r="D13" s="3" t="s">
        <v>30</v>
      </c>
      <c r="E13" s="3" t="s">
        <v>31</v>
      </c>
      <c r="F13" s="4">
        <f>B13/C13</f>
        <v>152.5</v>
      </c>
      <c r="G13" s="3" t="s">
        <v>32</v>
      </c>
    </row>
    <row r="14" spans="1:7">
      <c r="A14" s="1"/>
      <c r="B14" s="1"/>
      <c r="C14" s="1"/>
      <c r="D14" s="1"/>
      <c r="E14" s="1"/>
      <c r="F14" s="1"/>
      <c r="G14" s="1"/>
    </row>
    <row r="15" spans="1:7" ht="33.950000000000003" customHeight="1">
      <c r="A15" s="20" t="s">
        <v>33</v>
      </c>
      <c r="B15" s="20"/>
      <c r="C15" s="20"/>
      <c r="D15" s="20"/>
      <c r="E15" s="20"/>
      <c r="F15" s="20"/>
      <c r="G15" s="20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</sheetData>
  <mergeCells count="4">
    <mergeCell ref="A2:G2"/>
    <mergeCell ref="A3:G3"/>
    <mergeCell ref="A5:G5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H40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18" customWidth="1"/>
    <col min="2" max="7" width="13" customWidth="1"/>
    <col min="8" max="8" width="3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9.5">
      <c r="A2" s="16" t="s">
        <v>34</v>
      </c>
      <c r="B2" s="14"/>
      <c r="C2" s="14"/>
      <c r="D2" s="14"/>
      <c r="E2" s="14"/>
      <c r="F2" s="14"/>
      <c r="G2" s="14"/>
      <c r="H2" s="14"/>
    </row>
    <row r="3" spans="1:8" ht="33.950000000000003" customHeight="1">
      <c r="A3" s="17" t="s">
        <v>35</v>
      </c>
      <c r="B3" s="14"/>
      <c r="C3" s="14"/>
      <c r="D3" s="14"/>
      <c r="E3" s="14"/>
      <c r="F3" s="14"/>
      <c r="G3" s="14"/>
      <c r="H3" s="14"/>
    </row>
    <row r="4" spans="1:8">
      <c r="A4" s="1"/>
      <c r="B4" s="1"/>
      <c r="C4" s="1"/>
      <c r="D4" s="1"/>
      <c r="E4" s="1"/>
      <c r="F4" s="1"/>
      <c r="G4" s="1"/>
      <c r="H4" s="1"/>
    </row>
    <row r="5" spans="1:8" ht="42" customHeight="1">
      <c r="A5" s="18" t="s">
        <v>36</v>
      </c>
      <c r="B5" s="14"/>
      <c r="C5" s="14"/>
      <c r="D5" s="14"/>
      <c r="E5" s="14"/>
      <c r="F5" s="14"/>
      <c r="G5" s="14"/>
      <c r="H5" s="14"/>
    </row>
    <row r="6" spans="1:8">
      <c r="A6" s="1"/>
      <c r="B6" s="1"/>
      <c r="C6" s="1"/>
      <c r="D6" s="1"/>
      <c r="E6" s="1"/>
      <c r="F6" s="1"/>
      <c r="G6" s="1"/>
      <c r="H6" s="1"/>
    </row>
    <row r="7" spans="1:8" ht="33.950000000000003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</row>
    <row r="8" spans="1:8">
      <c r="A8" s="3" t="s">
        <v>45</v>
      </c>
      <c r="B8" s="6">
        <v>2.4</v>
      </c>
      <c r="C8" s="6">
        <v>3.1</v>
      </c>
      <c r="D8" s="6">
        <v>0</v>
      </c>
      <c r="E8" s="6">
        <v>2.8</v>
      </c>
      <c r="F8" s="6">
        <v>3.4</v>
      </c>
      <c r="G8" s="7"/>
      <c r="H8" s="3" t="s">
        <v>46</v>
      </c>
    </row>
    <row r="9" spans="1:8">
      <c r="A9" s="3" t="s">
        <v>47</v>
      </c>
      <c r="B9" s="6">
        <v>1.8</v>
      </c>
      <c r="C9" s="6">
        <v>2.2000000000000002</v>
      </c>
      <c r="D9" s="6">
        <v>2.6</v>
      </c>
      <c r="E9" s="6">
        <v>0</v>
      </c>
      <c r="F9" s="6">
        <v>3</v>
      </c>
      <c r="G9" s="7"/>
      <c r="H9" s="3" t="s">
        <v>48</v>
      </c>
    </row>
    <row r="10" spans="1:8">
      <c r="A10" s="3" t="s">
        <v>49</v>
      </c>
      <c r="B10" s="6">
        <v>4</v>
      </c>
      <c r="C10" s="6">
        <v>3.5</v>
      </c>
      <c r="D10" s="6">
        <v>3.2</v>
      </c>
      <c r="E10" s="6">
        <v>4.0999999999999996</v>
      </c>
      <c r="F10" s="6">
        <v>2.9</v>
      </c>
      <c r="G10" s="7"/>
      <c r="H10" s="3" t="s">
        <v>50</v>
      </c>
    </row>
    <row r="11" spans="1:8">
      <c r="A11" s="3" t="s">
        <v>51</v>
      </c>
      <c r="B11" s="6">
        <v>0</v>
      </c>
      <c r="C11" s="6">
        <v>1.9</v>
      </c>
      <c r="D11" s="6">
        <v>2.1</v>
      </c>
      <c r="E11" s="6">
        <v>2.5</v>
      </c>
      <c r="F11" s="6">
        <v>2</v>
      </c>
      <c r="G11" s="7"/>
      <c r="H11" s="3" t="s">
        <v>52</v>
      </c>
    </row>
    <row r="12" spans="1:8">
      <c r="A12" s="3" t="s">
        <v>53</v>
      </c>
      <c r="B12" s="6">
        <v>3.3</v>
      </c>
      <c r="C12" s="6">
        <v>2.7</v>
      </c>
      <c r="D12" s="6">
        <v>3.5</v>
      </c>
      <c r="E12" s="6">
        <v>3</v>
      </c>
      <c r="F12" s="6">
        <v>3.6</v>
      </c>
      <c r="G12" s="7"/>
      <c r="H12" s="3" t="s">
        <v>54</v>
      </c>
    </row>
    <row r="13" spans="1:8">
      <c r="A13" s="8" t="s">
        <v>55</v>
      </c>
      <c r="B13" s="9"/>
      <c r="C13" s="9"/>
      <c r="D13" s="9"/>
      <c r="E13" s="9"/>
      <c r="F13" s="9"/>
      <c r="G13" s="9"/>
      <c r="H13" s="8" t="s">
        <v>56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21" t="s">
        <v>57</v>
      </c>
      <c r="B15" s="22" t="s">
        <v>58</v>
      </c>
      <c r="C15" s="22"/>
      <c r="D15" s="22"/>
      <c r="E15" s="22"/>
      <c r="F15" s="22"/>
      <c r="G15" s="22"/>
      <c r="H15" s="23"/>
    </row>
    <row r="16" spans="1:8">
      <c r="A16" s="14" t="s">
        <v>59</v>
      </c>
      <c r="B16" s="15"/>
      <c r="C16" s="15"/>
      <c r="D16" s="15"/>
      <c r="E16" s="15"/>
      <c r="F16" s="15"/>
      <c r="G16" s="15"/>
      <c r="H16" s="15"/>
    </row>
    <row r="17" spans="1:8">
      <c r="A17" s="14" t="s">
        <v>60</v>
      </c>
      <c r="B17" s="15"/>
      <c r="C17" s="15"/>
      <c r="D17" s="15"/>
      <c r="E17" s="15"/>
      <c r="F17" s="15"/>
      <c r="G17" s="15"/>
      <c r="H17" s="15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9">
    <mergeCell ref="A16:D16"/>
    <mergeCell ref="E16:H16"/>
    <mergeCell ref="A17:D17"/>
    <mergeCell ref="E17:H17"/>
    <mergeCell ref="A2:H2"/>
    <mergeCell ref="A3:H3"/>
    <mergeCell ref="A5:H5"/>
    <mergeCell ref="A15:D15"/>
    <mergeCell ref="E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H40"/>
  <sheetViews>
    <sheetView showGridLines="0" zoomScale="136" workbookViewId="0">
      <pane ySplit="7" topLeftCell="A8" activePane="bottomLeft" state="frozen"/>
      <selection pane="bottomLeft" activeCell="E19" sqref="E19"/>
    </sheetView>
  </sheetViews>
  <sheetFormatPr defaultRowHeight="14.25"/>
  <cols>
    <col min="1" max="1" width="19" customWidth="1"/>
    <col min="2" max="5" width="18" customWidth="1"/>
    <col min="6" max="7" width="16" customWidth="1"/>
    <col min="8" max="8" width="27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9.5">
      <c r="A2" s="16" t="s">
        <v>61</v>
      </c>
      <c r="B2" s="14"/>
      <c r="C2" s="14"/>
      <c r="D2" s="14"/>
      <c r="E2" s="14"/>
      <c r="F2" s="14"/>
      <c r="G2" s="14"/>
      <c r="H2" s="14"/>
    </row>
    <row r="3" spans="1:8" ht="33.950000000000003" customHeight="1">
      <c r="A3" s="17" t="s">
        <v>62</v>
      </c>
      <c r="B3" s="14"/>
      <c r="C3" s="14"/>
      <c r="D3" s="14"/>
      <c r="E3" s="14"/>
      <c r="F3" s="14"/>
      <c r="G3" s="14"/>
      <c r="H3" s="14"/>
    </row>
    <row r="4" spans="1:8">
      <c r="A4" s="1"/>
      <c r="B4" s="1"/>
      <c r="C4" s="1"/>
      <c r="D4" s="1"/>
      <c r="E4" s="1"/>
      <c r="F4" s="1"/>
      <c r="G4" s="1"/>
      <c r="H4" s="1"/>
    </row>
    <row r="5" spans="1:8" ht="42" customHeight="1">
      <c r="A5" s="18" t="s">
        <v>63</v>
      </c>
      <c r="B5" s="14"/>
      <c r="C5" s="14"/>
      <c r="D5" s="14"/>
      <c r="E5" s="14"/>
      <c r="F5" s="14"/>
      <c r="G5" s="14"/>
      <c r="H5" s="14"/>
    </row>
    <row r="6" spans="1:8">
      <c r="A6" s="1"/>
      <c r="B6" s="1"/>
      <c r="C6" s="1"/>
      <c r="D6" s="1"/>
      <c r="E6" s="1"/>
      <c r="F6" s="1"/>
      <c r="G6" s="1"/>
      <c r="H6" s="1"/>
    </row>
    <row r="7" spans="1:8" ht="33.950000000000003" customHeight="1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</row>
    <row r="8" spans="1:8">
      <c r="A8" s="3" t="s">
        <v>72</v>
      </c>
      <c r="B8" s="5">
        <v>2.2000000000000002</v>
      </c>
      <c r="C8" s="5">
        <v>1.1000000000000001</v>
      </c>
      <c r="D8" s="5">
        <v>1.8</v>
      </c>
      <c r="E8" s="5">
        <v>2.5</v>
      </c>
      <c r="F8" s="10">
        <f>AVERAGE(B8:E8)</f>
        <v>1.9000000000000001</v>
      </c>
      <c r="G8" s="5">
        <v>2</v>
      </c>
      <c r="H8" s="3" t="s">
        <v>73</v>
      </c>
    </row>
    <row r="9" spans="1:8">
      <c r="A9" s="3" t="s">
        <v>74</v>
      </c>
      <c r="B9" s="5">
        <v>2.5</v>
      </c>
      <c r="C9" s="5">
        <v>0.9</v>
      </c>
      <c r="D9" s="5">
        <v>2.1</v>
      </c>
      <c r="E9" s="5">
        <v>2.2999999999999998</v>
      </c>
      <c r="F9" s="10">
        <f t="shared" ref="F9:F12" si="0">AVERAGE(B9:E9)</f>
        <v>1.95</v>
      </c>
      <c r="G9" s="5">
        <v>2</v>
      </c>
      <c r="H9" s="3" t="s">
        <v>73</v>
      </c>
    </row>
    <row r="10" spans="1:8">
      <c r="A10" s="3" t="s">
        <v>75</v>
      </c>
      <c r="B10" s="5">
        <v>1.9</v>
      </c>
      <c r="C10" s="5">
        <v>1</v>
      </c>
      <c r="D10" s="5">
        <v>1.7</v>
      </c>
      <c r="E10" s="5">
        <v>2.1</v>
      </c>
      <c r="F10" s="10">
        <f t="shared" si="0"/>
        <v>1.6749999999999998</v>
      </c>
      <c r="G10" s="5">
        <v>2</v>
      </c>
      <c r="H10" s="3" t="s">
        <v>73</v>
      </c>
    </row>
    <row r="11" spans="1:8">
      <c r="A11" s="3" t="s">
        <v>76</v>
      </c>
      <c r="B11" s="5">
        <v>2.8</v>
      </c>
      <c r="C11" s="5">
        <v>1.3</v>
      </c>
      <c r="D11" s="5">
        <v>2.4</v>
      </c>
      <c r="E11" s="5">
        <v>2.6</v>
      </c>
      <c r="F11" s="10">
        <f t="shared" si="0"/>
        <v>2.2749999999999999</v>
      </c>
      <c r="G11" s="5">
        <v>2</v>
      </c>
      <c r="H11" s="3" t="s">
        <v>73</v>
      </c>
    </row>
    <row r="12" spans="1:8">
      <c r="A12" s="3" t="s">
        <v>77</v>
      </c>
      <c r="B12" s="5">
        <v>2.1</v>
      </c>
      <c r="C12" s="5">
        <v>1.2</v>
      </c>
      <c r="D12" s="5">
        <v>1.9</v>
      </c>
      <c r="E12" s="5">
        <v>2.2000000000000002</v>
      </c>
      <c r="F12" s="10">
        <f t="shared" si="0"/>
        <v>1.8499999999999999</v>
      </c>
      <c r="G12" s="5">
        <v>2</v>
      </c>
      <c r="H12" s="3" t="s">
        <v>73</v>
      </c>
    </row>
    <row r="13" spans="1:8">
      <c r="A13" s="8" t="s">
        <v>78</v>
      </c>
      <c r="B13" s="11">
        <f>AVERAGE(B8:B12)</f>
        <v>2.2999999999999998</v>
      </c>
      <c r="C13" s="11">
        <f t="shared" ref="C13:E13" si="1">AVERAGE(C8:C12)</f>
        <v>1.1000000000000001</v>
      </c>
      <c r="D13" s="11">
        <f t="shared" si="1"/>
        <v>1.98</v>
      </c>
      <c r="E13" s="11">
        <f t="shared" si="1"/>
        <v>2.34</v>
      </c>
      <c r="F13" s="11">
        <f>AVERAGE(F8:F12)</f>
        <v>1.9300000000000002</v>
      </c>
      <c r="G13" s="12"/>
      <c r="H13" s="8" t="s">
        <v>79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9" t="s">
        <v>80</v>
      </c>
      <c r="B15" s="19" t="s">
        <v>58</v>
      </c>
      <c r="C15" s="19"/>
      <c r="D15" s="19"/>
      <c r="E15" s="19"/>
      <c r="F15" s="19"/>
      <c r="G15" s="19"/>
      <c r="H15" s="19"/>
    </row>
    <row r="16" spans="1:8">
      <c r="A16" s="14" t="s">
        <v>81</v>
      </c>
      <c r="B16" s="15"/>
      <c r="C16" s="15"/>
      <c r="D16" s="15"/>
      <c r="E16" s="15"/>
      <c r="F16" s="15"/>
      <c r="G16" s="15"/>
      <c r="H16" s="1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7">
    <mergeCell ref="A16:D16"/>
    <mergeCell ref="E16:H16"/>
    <mergeCell ref="A2:H2"/>
    <mergeCell ref="A3:H3"/>
    <mergeCell ref="A5:H5"/>
    <mergeCell ref="A15:D15"/>
    <mergeCell ref="E15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A1:G40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19" customWidth="1"/>
    <col min="2" max="2" width="26" customWidth="1"/>
    <col min="3" max="3" width="14" customWidth="1"/>
    <col min="4" max="5" width="16" customWidth="1"/>
    <col min="6" max="6" width="26" customWidth="1"/>
    <col min="7" max="7" width="20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.5">
      <c r="A2" s="16" t="s">
        <v>82</v>
      </c>
      <c r="B2" s="14"/>
      <c r="C2" s="14"/>
      <c r="D2" s="14"/>
      <c r="E2" s="14"/>
      <c r="F2" s="14"/>
      <c r="G2" s="14"/>
    </row>
    <row r="3" spans="1:7" ht="33.950000000000003" customHeight="1">
      <c r="A3" s="17" t="s">
        <v>83</v>
      </c>
      <c r="B3" s="14"/>
      <c r="C3" s="14"/>
      <c r="D3" s="14"/>
      <c r="E3" s="14"/>
      <c r="F3" s="14"/>
      <c r="G3" s="14"/>
    </row>
    <row r="4" spans="1:7">
      <c r="A4" s="1"/>
      <c r="B4" s="1"/>
      <c r="C4" s="1"/>
      <c r="D4" s="1"/>
      <c r="E4" s="1"/>
      <c r="F4" s="1"/>
      <c r="G4" s="1"/>
    </row>
    <row r="5" spans="1:7" ht="42" customHeight="1">
      <c r="A5" s="18" t="s">
        <v>84</v>
      </c>
      <c r="B5" s="14"/>
      <c r="C5" s="14"/>
      <c r="D5" s="14"/>
      <c r="E5" s="14"/>
      <c r="F5" s="14"/>
      <c r="G5" s="14"/>
    </row>
    <row r="6" spans="1:7">
      <c r="A6" s="1"/>
      <c r="B6" s="1"/>
      <c r="C6" s="1"/>
      <c r="D6" s="1"/>
      <c r="E6" s="1"/>
      <c r="F6" s="1"/>
      <c r="G6" s="1"/>
    </row>
    <row r="7" spans="1:7" ht="33.950000000000003" customHeight="1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58</v>
      </c>
    </row>
    <row r="8" spans="1:7">
      <c r="A8" s="3" t="s">
        <v>91</v>
      </c>
      <c r="B8" s="3" t="s">
        <v>92</v>
      </c>
      <c r="C8" s="3">
        <v>3</v>
      </c>
      <c r="D8" s="3" t="s">
        <v>93</v>
      </c>
      <c r="E8" s="3" t="s">
        <v>94</v>
      </c>
      <c r="F8" s="13" t="s">
        <v>95</v>
      </c>
      <c r="G8" s="4"/>
    </row>
    <row r="9" spans="1:7">
      <c r="A9" s="3" t="s">
        <v>96</v>
      </c>
      <c r="B9" s="3" t="s">
        <v>97</v>
      </c>
      <c r="C9" s="3">
        <v>2</v>
      </c>
      <c r="D9" s="3" t="s">
        <v>98</v>
      </c>
      <c r="E9" s="3" t="s">
        <v>99</v>
      </c>
      <c r="F9" s="13" t="s">
        <v>100</v>
      </c>
      <c r="G9" s="4"/>
    </row>
    <row r="10" spans="1:7">
      <c r="A10" s="3" t="s">
        <v>101</v>
      </c>
      <c r="B10" s="3" t="s">
        <v>102</v>
      </c>
      <c r="C10" s="3">
        <v>5</v>
      </c>
      <c r="D10" s="3" t="s">
        <v>93</v>
      </c>
      <c r="E10" s="3" t="s">
        <v>94</v>
      </c>
      <c r="F10" s="13" t="s">
        <v>103</v>
      </c>
      <c r="G10" s="4"/>
    </row>
    <row r="11" spans="1:7">
      <c r="A11" s="3" t="s">
        <v>104</v>
      </c>
      <c r="B11" s="3" t="s">
        <v>105</v>
      </c>
      <c r="C11" s="3">
        <v>4</v>
      </c>
      <c r="D11" s="3" t="s">
        <v>106</v>
      </c>
      <c r="E11" s="3" t="s">
        <v>99</v>
      </c>
      <c r="F11" s="3"/>
      <c r="G11" s="3"/>
    </row>
    <row r="12" spans="1:7">
      <c r="A12" s="3" t="s">
        <v>107</v>
      </c>
      <c r="B12" s="3" t="s">
        <v>108</v>
      </c>
      <c r="C12" s="3">
        <v>18</v>
      </c>
      <c r="D12" s="3" t="s">
        <v>109</v>
      </c>
      <c r="E12" s="3" t="s">
        <v>110</v>
      </c>
      <c r="F12" s="3"/>
      <c r="G12" s="3"/>
    </row>
    <row r="13" spans="1:7">
      <c r="A13" s="3" t="s">
        <v>111</v>
      </c>
      <c r="B13" s="3" t="s">
        <v>112</v>
      </c>
      <c r="C13" s="3">
        <v>2</v>
      </c>
      <c r="D13" s="3" t="s">
        <v>98</v>
      </c>
      <c r="E13" s="3" t="s">
        <v>94</v>
      </c>
      <c r="F13" s="3"/>
      <c r="G13" s="3"/>
    </row>
    <row r="14" spans="1:7">
      <c r="A14" s="3" t="s">
        <v>113</v>
      </c>
      <c r="B14" s="3" t="s">
        <v>114</v>
      </c>
      <c r="C14" s="3">
        <v>1</v>
      </c>
      <c r="D14" s="3" t="s">
        <v>106</v>
      </c>
      <c r="E14" s="3" t="s">
        <v>115</v>
      </c>
      <c r="F14" s="3"/>
      <c r="G14" s="3"/>
    </row>
    <row r="15" spans="1:7">
      <c r="A15" s="3" t="s">
        <v>116</v>
      </c>
      <c r="B15" s="3" t="s">
        <v>117</v>
      </c>
      <c r="C15" s="3">
        <v>4</v>
      </c>
      <c r="D15" s="3" t="s">
        <v>93</v>
      </c>
      <c r="E15" s="3" t="s">
        <v>94</v>
      </c>
      <c r="F15" s="3"/>
      <c r="G15" s="3"/>
    </row>
    <row r="16" spans="1:7">
      <c r="A16" s="3" t="s">
        <v>118</v>
      </c>
      <c r="B16" s="3" t="s">
        <v>119</v>
      </c>
      <c r="C16" s="3">
        <v>6</v>
      </c>
      <c r="D16" s="3" t="s">
        <v>109</v>
      </c>
      <c r="E16" s="3" t="s">
        <v>99</v>
      </c>
      <c r="F16" s="3"/>
      <c r="G16" s="3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9" t="s">
        <v>120</v>
      </c>
      <c r="B18" s="19" t="s">
        <v>58</v>
      </c>
      <c r="C18" s="19"/>
      <c r="D18" s="19"/>
      <c r="E18" s="19"/>
      <c r="F18" s="19"/>
      <c r="G18" s="19"/>
    </row>
    <row r="19" spans="1:7">
      <c r="A19" s="24" t="s">
        <v>121</v>
      </c>
      <c r="B19" s="20"/>
      <c r="C19" s="20"/>
      <c r="D19" s="20"/>
      <c r="E19" s="20"/>
      <c r="F19" s="20"/>
      <c r="G19" s="20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</sheetData>
  <mergeCells count="7">
    <mergeCell ref="A19:C19"/>
    <mergeCell ref="D19:G19"/>
    <mergeCell ref="A2:G2"/>
    <mergeCell ref="A3:G3"/>
    <mergeCell ref="A5:G5"/>
    <mergeCell ref="A18:C18"/>
    <mergeCell ref="D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A1:G40"/>
  <sheetViews>
    <sheetView showGridLines="0" tabSelected="1" topLeftCell="D10" zoomScale="319" workbookViewId="0">
      <selection activeCell="D17" sqref="D17:G17"/>
    </sheetView>
  </sheetViews>
  <sheetFormatPr defaultRowHeight="14.25"/>
  <cols>
    <col min="1" max="1" width="15" customWidth="1"/>
    <col min="2" max="2" width="20" customWidth="1"/>
    <col min="3" max="6" width="19" customWidth="1"/>
    <col min="7" max="7" width="2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.5">
      <c r="A2" s="16" t="s">
        <v>122</v>
      </c>
      <c r="B2" s="14"/>
      <c r="C2" s="14"/>
      <c r="D2" s="14"/>
      <c r="E2" s="14"/>
      <c r="F2" s="14"/>
      <c r="G2" s="14"/>
    </row>
    <row r="3" spans="1:7" ht="33.950000000000003" customHeight="1">
      <c r="A3" s="17" t="s">
        <v>123</v>
      </c>
      <c r="B3" s="14"/>
      <c r="C3" s="14"/>
      <c r="D3" s="14"/>
      <c r="E3" s="14"/>
      <c r="F3" s="14"/>
      <c r="G3" s="14"/>
    </row>
    <row r="4" spans="1:7">
      <c r="A4" s="1"/>
      <c r="B4" s="1"/>
      <c r="C4" s="1"/>
      <c r="D4" s="1"/>
      <c r="E4" s="1"/>
      <c r="F4" s="1"/>
      <c r="G4" s="1"/>
    </row>
    <row r="5" spans="1:7" ht="42" customHeight="1">
      <c r="A5" s="18" t="s">
        <v>124</v>
      </c>
      <c r="B5" s="14"/>
      <c r="C5" s="14"/>
      <c r="D5" s="14"/>
      <c r="E5" s="14"/>
      <c r="F5" s="14"/>
      <c r="G5" s="14"/>
    </row>
    <row r="6" spans="1:7">
      <c r="A6" s="1"/>
      <c r="B6" s="1"/>
      <c r="C6" s="1"/>
      <c r="D6" s="1"/>
      <c r="E6" s="1"/>
      <c r="F6" s="1"/>
      <c r="G6" s="1"/>
    </row>
    <row r="7" spans="1:7" ht="33.950000000000003" customHeight="1">
      <c r="A7" s="2" t="s">
        <v>37</v>
      </c>
      <c r="B7" s="2" t="s">
        <v>125</v>
      </c>
      <c r="C7" s="2" t="s">
        <v>126</v>
      </c>
      <c r="D7" s="2" t="s">
        <v>127</v>
      </c>
      <c r="E7" s="2" t="s">
        <v>128</v>
      </c>
      <c r="F7" s="2" t="s">
        <v>129</v>
      </c>
      <c r="G7" s="2" t="s">
        <v>44</v>
      </c>
    </row>
    <row r="8" spans="1:7">
      <c r="A8" s="3" t="s">
        <v>130</v>
      </c>
      <c r="B8" s="3" t="s">
        <v>131</v>
      </c>
      <c r="C8" s="3">
        <v>98</v>
      </c>
      <c r="D8" s="3">
        <v>100</v>
      </c>
      <c r="E8" s="4">
        <f>D8-C8</f>
        <v>2</v>
      </c>
      <c r="F8" s="4" t="str">
        <f>IF(C8&lt;100,"Liberado","Inspeção Obrigatória")</f>
        <v>Liberado</v>
      </c>
      <c r="G8" s="3" t="s">
        <v>132</v>
      </c>
    </row>
    <row r="9" spans="1:7">
      <c r="A9" s="3" t="s">
        <v>133</v>
      </c>
      <c r="B9" s="3" t="s">
        <v>134</v>
      </c>
      <c r="C9" s="3">
        <v>45</v>
      </c>
      <c r="D9" s="3">
        <v>100</v>
      </c>
      <c r="E9" s="4">
        <f t="shared" ref="E9:E14" si="0">D9-C9</f>
        <v>55</v>
      </c>
      <c r="F9" s="4" t="str">
        <f t="shared" ref="F9:F14" si="1">IF(C9&lt;100,"Liberado","Inspeção Obrigatória")</f>
        <v>Liberado</v>
      </c>
      <c r="G9" s="3" t="s">
        <v>135</v>
      </c>
    </row>
    <row r="10" spans="1:7">
      <c r="A10" s="3" t="s">
        <v>136</v>
      </c>
      <c r="B10" s="3" t="s">
        <v>137</v>
      </c>
      <c r="C10" s="3">
        <v>102</v>
      </c>
      <c r="D10" s="3">
        <v>100</v>
      </c>
      <c r="E10" s="4">
        <f t="shared" si="0"/>
        <v>-2</v>
      </c>
      <c r="F10" s="4" t="str">
        <f t="shared" si="1"/>
        <v>Inspeção Obrigatória</v>
      </c>
      <c r="G10" s="3" t="s">
        <v>138</v>
      </c>
    </row>
    <row r="11" spans="1:7">
      <c r="A11" s="3" t="s">
        <v>139</v>
      </c>
      <c r="B11" s="3" t="s">
        <v>140</v>
      </c>
      <c r="C11" s="3">
        <v>15</v>
      </c>
      <c r="D11" s="3">
        <v>100</v>
      </c>
      <c r="E11" s="4">
        <f t="shared" si="0"/>
        <v>85</v>
      </c>
      <c r="F11" s="4" t="str">
        <f t="shared" si="1"/>
        <v>Liberado</v>
      </c>
      <c r="G11" s="3" t="s">
        <v>141</v>
      </c>
    </row>
    <row r="12" spans="1:7">
      <c r="A12" s="3" t="s">
        <v>142</v>
      </c>
      <c r="B12" s="3" t="s">
        <v>143</v>
      </c>
      <c r="C12" s="3">
        <v>88</v>
      </c>
      <c r="D12" s="3">
        <v>100</v>
      </c>
      <c r="E12" s="4">
        <f t="shared" si="0"/>
        <v>12</v>
      </c>
      <c r="F12" s="4" t="str">
        <f t="shared" si="1"/>
        <v>Liberado</v>
      </c>
      <c r="G12" s="3" t="s">
        <v>144</v>
      </c>
    </row>
    <row r="13" spans="1:7">
      <c r="A13" s="3" t="s">
        <v>145</v>
      </c>
      <c r="B13" s="3" t="s">
        <v>146</v>
      </c>
      <c r="C13" s="3">
        <v>100</v>
      </c>
      <c r="D13" s="3">
        <v>100</v>
      </c>
      <c r="E13" s="4">
        <f t="shared" si="0"/>
        <v>0</v>
      </c>
      <c r="F13" s="4" t="str">
        <f t="shared" si="1"/>
        <v>Inspeção Obrigatória</v>
      </c>
      <c r="G13" s="3" t="s">
        <v>147</v>
      </c>
    </row>
    <row r="14" spans="1:7">
      <c r="A14" s="3" t="s">
        <v>148</v>
      </c>
      <c r="B14" s="3" t="s">
        <v>149</v>
      </c>
      <c r="C14" s="3">
        <v>63</v>
      </c>
      <c r="D14" s="3">
        <v>100</v>
      </c>
      <c r="E14" s="4">
        <f t="shared" si="0"/>
        <v>37</v>
      </c>
      <c r="F14" s="4" t="str">
        <f t="shared" si="1"/>
        <v>Liberado</v>
      </c>
      <c r="G14" s="3" t="s">
        <v>135</v>
      </c>
    </row>
    <row r="15" spans="1:7">
      <c r="A15" s="1"/>
      <c r="B15" s="1"/>
      <c r="C15" s="1"/>
      <c r="D15" s="1"/>
      <c r="E15" s="1"/>
      <c r="F15" s="1"/>
      <c r="G15" s="1"/>
    </row>
    <row r="16" spans="1:7">
      <c r="A16" s="19" t="s">
        <v>9</v>
      </c>
      <c r="B16" s="19" t="s">
        <v>58</v>
      </c>
      <c r="C16" s="19"/>
      <c r="D16" s="19"/>
      <c r="E16" s="19"/>
      <c r="F16" s="19"/>
      <c r="G16" s="19"/>
    </row>
    <row r="17" spans="1:7">
      <c r="A17" s="14" t="s">
        <v>150</v>
      </c>
      <c r="B17" s="15"/>
      <c r="C17" s="15"/>
      <c r="D17" s="15" t="str" cm="1">
        <f t="array" ref="D17">_xlfn.TEXTJOIN("; ",TRUE,IF(C8:C14&gt;=100,B8:B14,""))</f>
        <v>Baron G58; Robinson R44</v>
      </c>
      <c r="E17" s="15"/>
      <c r="F17" s="15"/>
      <c r="G17" s="15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</sheetData>
  <mergeCells count="7">
    <mergeCell ref="A17:C17"/>
    <mergeCell ref="D17:G17"/>
    <mergeCell ref="A2:G2"/>
    <mergeCell ref="A3:G3"/>
    <mergeCell ref="A5:G5"/>
    <mergeCell ref="A16:C16"/>
    <mergeCell ref="D16:G16"/>
  </mergeCells>
  <conditionalFormatting sqref="F8:F14">
    <cfRule type="containsText" dxfId="3" priority="1" operator="containsText" text="INSPEÇÃO"/>
    <cfRule type="containsText" dxfId="2" priority="2" operator="containsText" text="LIBERADO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A1:I40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29" customWidth="1"/>
    <col min="2" max="2" width="24" customWidth="1"/>
    <col min="3" max="3" width="37" customWidth="1"/>
    <col min="4" max="8" width="15" customWidth="1"/>
    <col min="9" max="9" width="2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19.5">
      <c r="A2" s="16" t="s">
        <v>151</v>
      </c>
      <c r="B2" s="14"/>
      <c r="C2" s="14"/>
      <c r="D2" s="14"/>
      <c r="E2" s="14"/>
      <c r="F2" s="14"/>
      <c r="G2" s="14"/>
      <c r="H2" s="14"/>
      <c r="I2" s="14"/>
    </row>
    <row r="3" spans="1:9" ht="33.950000000000003" customHeight="1">
      <c r="A3" s="17" t="s">
        <v>152</v>
      </c>
      <c r="B3" s="14"/>
      <c r="C3" s="14"/>
      <c r="D3" s="14"/>
      <c r="E3" s="14"/>
      <c r="F3" s="14"/>
      <c r="G3" s="14"/>
      <c r="H3" s="14"/>
      <c r="I3" s="14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18" t="s">
        <v>153</v>
      </c>
      <c r="B5" s="14"/>
      <c r="C5" s="14"/>
      <c r="D5" s="14"/>
      <c r="E5" s="14"/>
      <c r="F5" s="14"/>
      <c r="G5" s="14"/>
      <c r="H5" s="14"/>
      <c r="I5" s="14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 ht="33.950000000000003" customHeight="1">
      <c r="A7" s="2" t="s">
        <v>154</v>
      </c>
      <c r="B7" s="2" t="s">
        <v>155</v>
      </c>
      <c r="C7" s="2" t="s">
        <v>156</v>
      </c>
      <c r="D7" s="2" t="s">
        <v>157</v>
      </c>
      <c r="E7" s="2" t="s">
        <v>158</v>
      </c>
      <c r="F7" s="2" t="s">
        <v>159</v>
      </c>
      <c r="G7" s="2" t="s">
        <v>160</v>
      </c>
      <c r="H7" s="2" t="s">
        <v>161</v>
      </c>
      <c r="I7" s="2" t="s">
        <v>129</v>
      </c>
    </row>
    <row r="8" spans="1:9">
      <c r="A8" s="3" t="s">
        <v>162</v>
      </c>
      <c r="B8" s="3" t="s">
        <v>163</v>
      </c>
      <c r="C8" s="6">
        <v>94</v>
      </c>
      <c r="D8" s="6">
        <v>95</v>
      </c>
      <c r="E8" s="6">
        <v>94</v>
      </c>
      <c r="F8" s="7"/>
      <c r="G8" s="7"/>
      <c r="H8" s="7"/>
      <c r="I8" s="4"/>
    </row>
    <row r="9" spans="1:9">
      <c r="A9" s="3" t="s">
        <v>162</v>
      </c>
      <c r="B9" s="3" t="s">
        <v>164</v>
      </c>
      <c r="C9" s="6">
        <v>96</v>
      </c>
      <c r="D9" s="6">
        <v>96</v>
      </c>
      <c r="E9" s="6">
        <v>97</v>
      </c>
      <c r="F9" s="7"/>
      <c r="G9" s="7"/>
      <c r="H9" s="7"/>
      <c r="I9" s="4"/>
    </row>
    <row r="10" spans="1:9">
      <c r="A10" s="3" t="s">
        <v>165</v>
      </c>
      <c r="B10" s="3" t="s">
        <v>163</v>
      </c>
      <c r="C10" s="6">
        <v>90</v>
      </c>
      <c r="D10" s="6">
        <v>91</v>
      </c>
      <c r="E10" s="6">
        <v>90</v>
      </c>
      <c r="F10" s="7"/>
      <c r="G10" s="7"/>
      <c r="H10" s="7"/>
      <c r="I10" s="4"/>
    </row>
    <row r="11" spans="1:9">
      <c r="A11" s="3" t="s">
        <v>165</v>
      </c>
      <c r="B11" s="3" t="s">
        <v>164</v>
      </c>
      <c r="C11" s="6">
        <v>93</v>
      </c>
      <c r="D11" s="6">
        <v>94</v>
      </c>
      <c r="E11" s="6">
        <v>93</v>
      </c>
      <c r="F11" s="7"/>
      <c r="G11" s="7"/>
      <c r="H11" s="7"/>
      <c r="I11" s="4"/>
    </row>
    <row r="12" spans="1:9">
      <c r="A12" s="3" t="s">
        <v>166</v>
      </c>
      <c r="B12" s="3" t="s">
        <v>163</v>
      </c>
      <c r="C12" s="6">
        <v>99</v>
      </c>
      <c r="D12" s="6">
        <v>100</v>
      </c>
      <c r="E12" s="6">
        <v>99</v>
      </c>
      <c r="F12" s="7"/>
      <c r="G12" s="7"/>
      <c r="H12" s="7"/>
      <c r="I12" s="4"/>
    </row>
    <row r="13" spans="1:9">
      <c r="A13" s="3" t="s">
        <v>166</v>
      </c>
      <c r="B13" s="3" t="s">
        <v>164</v>
      </c>
      <c r="C13" s="6">
        <v>95</v>
      </c>
      <c r="D13" s="6">
        <v>94</v>
      </c>
      <c r="E13" s="6">
        <v>95</v>
      </c>
      <c r="F13" s="7"/>
      <c r="G13" s="7"/>
      <c r="H13" s="7"/>
      <c r="I13" s="4"/>
    </row>
    <row r="14" spans="1:9">
      <c r="A14" s="3" t="s">
        <v>167</v>
      </c>
      <c r="B14" s="3" t="s">
        <v>163</v>
      </c>
      <c r="C14" s="6">
        <v>92</v>
      </c>
      <c r="D14" s="6">
        <v>92</v>
      </c>
      <c r="E14" s="6">
        <v>93</v>
      </c>
      <c r="F14" s="7"/>
      <c r="G14" s="7"/>
      <c r="H14" s="7"/>
      <c r="I14" s="4"/>
    </row>
    <row r="15" spans="1:9">
      <c r="A15" s="3" t="s">
        <v>167</v>
      </c>
      <c r="B15" s="3" t="s">
        <v>164</v>
      </c>
      <c r="C15" s="6">
        <v>98</v>
      </c>
      <c r="D15" s="6">
        <v>97</v>
      </c>
      <c r="E15" s="6">
        <v>98</v>
      </c>
      <c r="F15" s="7"/>
      <c r="G15" s="7"/>
      <c r="H15" s="7"/>
      <c r="I15" s="4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 ht="33.950000000000003" customHeight="1">
      <c r="A18" s="2" t="s">
        <v>168</v>
      </c>
      <c r="B18" s="2" t="s">
        <v>8</v>
      </c>
      <c r="C18" s="2" t="s">
        <v>169</v>
      </c>
      <c r="D18" s="1"/>
      <c r="E18" s="1"/>
      <c r="F18" s="1"/>
      <c r="G18" s="1"/>
      <c r="H18" s="1"/>
      <c r="I18" s="1"/>
    </row>
    <row r="19" spans="1:9">
      <c r="A19" s="3" t="s">
        <v>170</v>
      </c>
      <c r="B19" s="4"/>
      <c r="C19" s="3" t="s">
        <v>171</v>
      </c>
      <c r="D19" s="1"/>
      <c r="E19" s="1"/>
      <c r="F19" s="1"/>
      <c r="G19" s="1"/>
      <c r="H19" s="1"/>
      <c r="I19" s="1"/>
    </row>
    <row r="20" spans="1:9">
      <c r="A20" s="3" t="s">
        <v>172</v>
      </c>
      <c r="B20" s="4"/>
      <c r="C20" s="3" t="s">
        <v>173</v>
      </c>
      <c r="D20" s="1"/>
      <c r="E20" s="1"/>
      <c r="F20" s="1"/>
      <c r="G20" s="1"/>
      <c r="H20" s="1"/>
      <c r="I20" s="1"/>
    </row>
    <row r="21" spans="1:9">
      <c r="A21" s="3" t="s">
        <v>174</v>
      </c>
      <c r="B21" s="4"/>
      <c r="C21" s="3" t="s">
        <v>175</v>
      </c>
      <c r="D21" s="1"/>
      <c r="E21" s="1"/>
      <c r="F21" s="1"/>
      <c r="G21" s="1"/>
      <c r="H21" s="1"/>
      <c r="I21" s="1"/>
    </row>
    <row r="22" spans="1:9">
      <c r="A22" s="3" t="s">
        <v>176</v>
      </c>
      <c r="B22" s="4"/>
      <c r="C22" s="3" t="s">
        <v>177</v>
      </c>
      <c r="D22" s="1"/>
      <c r="E22" s="1"/>
      <c r="F22" s="1"/>
      <c r="G22" s="1"/>
      <c r="H22" s="1"/>
      <c r="I22" s="1"/>
    </row>
    <row r="23" spans="1:9">
      <c r="A23" s="3" t="s">
        <v>178</v>
      </c>
      <c r="B23" s="4"/>
      <c r="C23" s="3" t="s">
        <v>179</v>
      </c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 ht="33.950000000000003" customHeight="1">
      <c r="A25" s="25" t="s">
        <v>180</v>
      </c>
      <c r="B25" s="26"/>
      <c r="C25" s="26"/>
      <c r="D25" s="26"/>
      <c r="E25" s="26"/>
      <c r="F25" s="26"/>
      <c r="G25" s="26"/>
      <c r="H25" s="26"/>
      <c r="I25" s="27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</sheetData>
  <mergeCells count="4">
    <mergeCell ref="A2:I2"/>
    <mergeCell ref="A3:I3"/>
    <mergeCell ref="A5:I5"/>
    <mergeCell ref="A25:I25"/>
  </mergeCells>
  <conditionalFormatting sqref="I8:I15">
    <cfRule type="containsText" dxfId="1" priority="1" operator="containsText" text="AJUSTAR"/>
    <cfRule type="containsText" dxfId="0" priority="2" operator="containsText" text="CONFORME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Ex1_Operadores</vt:lpstr>
      <vt:lpstr>Ex2_SOMA</vt:lpstr>
      <vt:lpstr>Ex3_MEDIA</vt:lpstr>
      <vt:lpstr>Ex4_MEDIANA</vt:lpstr>
      <vt:lpstr>Ex5_SE_Simples</vt:lpstr>
      <vt:lpstr>Ex6_Revisao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CASSULINO ARAÚJO SOUZA</cp:lastModifiedBy>
  <dcterms:modified xsi:type="dcterms:W3CDTF">2026-10-02T12:09:56Z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2026-10-02T11:31:02Z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27a71789-7120-46ff-a2a1-edf305bb554e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