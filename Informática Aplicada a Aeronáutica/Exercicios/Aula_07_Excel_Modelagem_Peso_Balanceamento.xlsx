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a_Manutencao_e_Ref_Abs" sheetId="1" state="visible" r:id="rId1"/>
    <sheet xmlns:r="http://schemas.openxmlformats.org/officeDocument/2006/relationships" name="Ativ1_Pesagem_Hangar_EWCG" sheetId="2" state="visible" r:id="rId2"/>
    <sheet xmlns:r="http://schemas.openxmlformats.org/officeDocument/2006/relationships" name="Ativ2_Modificacao_Avionicos" sheetId="3" state="visible" r:id="rId3"/>
    <sheet xmlns:r="http://schemas.openxmlformats.org/officeDocument/2006/relationships" name="Ativ3_Exercicio_Revisao_G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"/>
    </font>
    <font>
      <name val="Segoe UI"/>
      <b val="1"/>
      <color rgb="000B1D3A"/>
      <sz val="11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color rgb="001E293B"/>
      <sz val="10"/>
    </font>
    <font>
      <name val="Consolas"/>
      <b val="1"/>
      <color rgb="00004085"/>
      <sz val="9"/>
    </font>
    <font>
      <name val="Segoe UI"/>
      <i val="1"/>
      <color rgb="0064748B"/>
      <sz val="9"/>
    </font>
    <font>
      <name val="Segoe UI"/>
      <color rgb="00334155"/>
      <sz val="9"/>
    </font>
  </fonts>
  <fills count="11">
    <fill>
      <patternFill/>
    </fill>
    <fill>
      <patternFill patternType="gray125"/>
    </fill>
    <fill>
      <patternFill patternType="solid">
        <fgColor rgb="000B1D3A"/>
        <bgColor rgb="000B1D3A"/>
      </patternFill>
    </fill>
    <fill>
      <patternFill patternType="solid">
        <fgColor rgb="000066B2"/>
        <bgColor rgb="000066B2"/>
      </patternFill>
    </fill>
    <fill>
      <patternFill patternType="solid">
        <fgColor rgb="00F8FAFC"/>
        <bgColor rgb="00F8FAFC"/>
      </patternFill>
    </fill>
    <fill>
      <patternFill patternType="solid">
        <fgColor rgb="00F0F4F8"/>
        <bgColor rgb="00F0F4F8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EF9C3"/>
        <bgColor rgb="00FEF9C3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7" borderId="1" pivotButton="0" quotePrefix="0" xfId="0"/>
    <xf numFmtId="164" fontId="5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right" vertical="center"/>
    </xf>
    <xf numFmtId="164" fontId="0" fillId="8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3" fillId="9" borderId="3" pivotButton="0" quotePrefix="0" xfId="0"/>
    <xf numFmtId="0" fontId="8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4" fontId="0" fillId="8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0" fillId="8" borderId="2" applyAlignment="1" pivotButton="0" quotePrefix="0" xfId="0">
      <alignment horizontal="right" vertical="center"/>
    </xf>
    <xf numFmtId="0" fontId="0" fillId="8" borderId="2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top" wrapText="1"/>
    </xf>
    <xf numFmtId="166" fontId="5" fillId="7" borderId="1" applyAlignment="1" pivotButton="0" quotePrefix="0" xfId="0">
      <alignment horizontal="right" vertical="center"/>
    </xf>
    <xf numFmtId="0" fontId="6" fillId="0" borderId="1" pivotButton="0" quotePrefix="0" xfId="0"/>
    <xf numFmtId="164" fontId="5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6" fontId="0" fillId="8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2" customWidth="1" min="4" max="4"/>
    <col width="22" customWidth="1" min="5" max="5"/>
    <col width="22" customWidth="1" min="6" max="6"/>
    <col width="24" customWidth="1" min="7" max="7"/>
  </cols>
  <sheetData>
    <row r="1" ht="28" customHeight="1">
      <c r="A1" s="1" t="inlineStr">
        <is>
          <t>INF-117 INFORMÁTICA APLICADA A AERONÁUTICA — MANUTENÇÃO DE AERONAVES</t>
        </is>
      </c>
    </row>
    <row r="2" ht="20" customHeight="1">
      <c r="A2" s="2" t="inlineStr">
        <is>
          <t>Aula 07: Planilhas de Peso e Balanceamento em Hangar &amp; Referências Absolutas ($) conforme RBAC 43 / 145 e FAA-H-8083-1B</t>
        </is>
      </c>
    </row>
    <row r="4">
      <c r="A4" s="3" t="inlineStr">
        <is>
          <t>1. Visão Geral das Planilhas de Manutenção &amp; Oficinas Homologadas</t>
        </is>
      </c>
    </row>
    <row r="6" ht="24" customHeight="1">
      <c r="A6" s="4" t="inlineStr">
        <is>
          <t>Aba da Planilha</t>
        </is>
      </c>
      <c r="B6" s="5" t="inlineStr">
        <is>
          <t>Aplicação Real na Manutenção Aeronáutica &amp; Formulação no Excel</t>
        </is>
      </c>
    </row>
    <row r="7" ht="36" customHeight="1">
      <c r="A7" s="6" t="inlineStr">
        <is>
          <t>Aba 1: Ativ1_Pesagem_Hangar_EWCG</t>
        </is>
      </c>
      <c r="B7" s="7" t="inlineStr">
        <is>
          <t>PLANILHA GUIADA 1 (Fazer Junto): Relatório Oficial de Pesagem Periódica em Hangar com 3 Células de Carga (Trem Principal Esq/Dir e Trem de Nariz). Desconto da tara calibrada de calços/macacos fixada com Referência Absoluta ($C$7), cálculo do Peso Vazio (BEW) e do Centro de Gravidade Vazio (EWCG).</t>
        </is>
      </c>
    </row>
    <row r="8" ht="36" customHeight="1">
      <c r="A8" s="8" t="inlineStr">
        <is>
          <t>Aba 2: Ativ2_Modificacao_Avionicos</t>
        </is>
      </c>
      <c r="B8" s="9" t="inlineStr">
        <is>
          <t>PLANILHA GUIADA 2 (Fazer Junto): Alteração de Peso e Balanceamento pós-Modificação (Major Alteration / STC) na oficina de aviônicos. Registro de itens removidos (-P, -M) e instalados (+P, +M), recálculo do novo EWCG, nova Carga Útil com MTOW travado ($C$5) e conversão métrica para o SI.</t>
        </is>
      </c>
    </row>
    <row r="9" ht="36" customHeight="1">
      <c r="A9" s="6" t="inlineStr">
        <is>
          <t>Aba 3: Ativ3_Exercicio_Revisao_Geral</t>
        </is>
      </c>
      <c r="B9" s="7" t="inlineStr">
        <is>
          <t>EXERCÍCIO DE FIXAÇÃO: Revisão Geral (Overhaul) e Repintura Completa de um bimotor executivo em oficina de manutenção. O aluno desconta taras de balança com $, totaliza novo BEW, calcula novo EWCG, avalia o limite traseiro do TCDS e emite o parecer de Liberação para Retorno ao Serviço (RTS).</t>
        </is>
      </c>
    </row>
    <row r="11">
      <c r="A11" s="3" t="inlineStr">
        <is>
          <t>2. O Cifrão ($) e a Tecla F4 Aplicados aos Formulários de Manutenção</t>
        </is>
      </c>
    </row>
    <row r="13" ht="24" customHeight="1">
      <c r="A13" s="10" t="inlineStr">
        <is>
          <t>Tipo de Referência</t>
        </is>
      </c>
      <c r="B13" s="10" t="inlineStr">
        <is>
          <t>Sintaxe</t>
        </is>
      </c>
      <c r="C13" s="11" t="inlineStr">
        <is>
          <t>Comportamento no Excel</t>
        </is>
      </c>
      <c r="E13" s="11" t="inlineStr">
        <is>
          <t>Exemplo Real no Hangar / Oficina</t>
        </is>
      </c>
    </row>
    <row r="14" ht="32" customHeight="1">
      <c r="A14" s="6" t="inlineStr">
        <is>
          <t>Referência Relativa</t>
        </is>
      </c>
      <c r="B14" s="12" t="inlineStr">
        <is>
          <t>Ex: C13 ou D13</t>
        </is>
      </c>
      <c r="C14" s="7" t="inlineStr">
        <is>
          <t>Desloca linha e coluna ao arrastar a fórmula pela alça de preenchimento.</t>
        </is>
      </c>
      <c r="E14" s="7" t="inlineStr">
        <is>
          <t>Cálculo de Momento de cada ponto de pesagem (=C13*D13). Ao arrastar para a linha 14, torna-se (=C14*D14).</t>
        </is>
      </c>
    </row>
    <row r="15" ht="32" customHeight="1">
      <c r="A15" s="6" t="inlineStr">
        <is>
          <t>Referência Absoluta</t>
        </is>
      </c>
      <c r="B15" s="12" t="inlineStr">
        <is>
          <t>Ex: $C$5 ou $C$7</t>
        </is>
      </c>
      <c r="C15" s="7" t="inlineStr">
        <is>
          <t>Trava linha e coluna. O cifrão ($) fixa a célula ao arrastar em qualquer direção.</t>
        </is>
      </c>
      <c r="E15" s="7" t="inlineStr">
        <is>
          <t>Subtração da tara de balança em todos os pontos (=B13-$C$7) e cálculo de nova Carga Útil (=$C$5-Novo_Peso).</t>
        </is>
      </c>
    </row>
    <row r="16" ht="32" customHeight="1">
      <c r="A16" s="6" t="inlineStr">
        <is>
          <t>Referência Mista (Linha)</t>
        </is>
      </c>
      <c r="B16" s="12" t="inlineStr">
        <is>
          <t>Ex: C$5</t>
        </is>
      </c>
      <c r="C16" s="7" t="inlineStr">
        <is>
          <t>A coluna varia livremente, mas a linha 5 permanece 'congelada'.</t>
        </is>
      </c>
      <c r="E16" s="7" t="inlineStr">
        <is>
          <t>Tabelas matriciais de tolerância de combustível residual e balanceamento de superfícies de controle.</t>
        </is>
      </c>
    </row>
    <row r="17" ht="32" customHeight="1">
      <c r="A17" s="6" t="inlineStr">
        <is>
          <t>Referência Mista (Coluna)</t>
        </is>
      </c>
      <c r="B17" s="12" t="inlineStr">
        <is>
          <t>Ex: $C5</t>
        </is>
      </c>
      <c r="C17" s="7" t="inlineStr">
        <is>
          <t>A coluna C permanece fixa, mas a linha varia ao arrastar lateralmente.</t>
        </is>
      </c>
      <c r="E17" s="7" t="inlineStr">
        <is>
          <t>Comparação entre pesagens de diferentes inspeções C-Check preservando a coluna original.</t>
        </is>
      </c>
    </row>
    <row r="19">
      <c r="A19" s="3" t="inlineStr">
        <is>
          <t>3. Equações Regulamentares de Manutenção (FAA-H-8083-1B / RBAC 43)</t>
        </is>
      </c>
    </row>
    <row r="21" ht="24" customHeight="1">
      <c r="A21" s="13" t="inlineStr">
        <is>
          <t>Conceito Técnico</t>
        </is>
      </c>
      <c r="B21" s="14" t="inlineStr">
        <is>
          <t>Definição Física &amp; Regulamentar</t>
        </is>
      </c>
      <c r="E21" s="14" t="inlineStr">
        <is>
          <t>Fórmula Correspondente no Excel</t>
        </is>
      </c>
    </row>
    <row r="22" ht="22" customHeight="1">
      <c r="A22" s="6" t="inlineStr">
        <is>
          <t>Peso Líquido da Balança</t>
        </is>
      </c>
      <c r="B22" s="7" t="inlineStr">
        <is>
          <t>Peso Líquido = Leitura Bruta da Célula de Carga - Tara Calibrada de Calços</t>
        </is>
      </c>
      <c r="E22" s="15">
        <f>B13-$C$7 (usando $ para fixar a tara)</f>
        <v/>
      </c>
    </row>
    <row r="23" ht="22" customHeight="1">
      <c r="A23" s="6" t="inlineStr">
        <is>
          <t>Momento da Estação</t>
        </is>
      </c>
      <c r="B23" s="7" t="inlineStr">
        <is>
          <t>Momento (M) = Peso Líquido (P) * Braço da Estação (B)</t>
        </is>
      </c>
      <c r="E23" s="15">
        <f>C13*D13 (referência relativa para arrastar)</f>
        <v/>
      </c>
    </row>
    <row r="24" ht="22" customHeight="1">
      <c r="A24" s="6" t="inlineStr">
        <is>
          <t>Peso Básico Vazio (BEW)</t>
        </is>
      </c>
      <c r="B24" s="7" t="inlineStr">
        <is>
          <t>BEW = Somatória dos Pesos Líquidos de Todos os Pontos de Pesagem</t>
        </is>
      </c>
      <c r="E24" s="15">
        <f>SOMA(C13:C16)</f>
        <v/>
      </c>
    </row>
    <row r="25" ht="22" customHeight="1">
      <c r="A25" s="6" t="inlineStr">
        <is>
          <t>Centro de Gravidade Vazio (EWCG)</t>
        </is>
      </c>
      <c r="B25" s="7" t="inlineStr">
        <is>
          <t>EWCG = Somatória dos Momentos Totais / Peso Básico Vazio Total</t>
        </is>
      </c>
      <c r="E25" s="15">
        <f>E17/C17 (Posição do CG da aeronave vazia)</f>
        <v/>
      </c>
    </row>
    <row r="26" ht="22" customHeight="1">
      <c r="A26" s="6" t="inlineStr">
        <is>
          <t>Carga Útil Disponível (Useful Load)</t>
        </is>
      </c>
      <c r="B26" s="7" t="inlineStr">
        <is>
          <t>Carga Útil = MTOW Homologado no TCDS - Peso Básico Vazio (BEW)</t>
        </is>
      </c>
      <c r="E26" s="15">
        <f>$C$5-C17 (MTOW travado com referência absoluta)</f>
        <v/>
      </c>
    </row>
    <row r="27" ht="22" customHeight="1">
      <c r="A27" s="6" t="inlineStr">
        <is>
          <t>Modificação de Aviônicos</t>
        </is>
      </c>
      <c r="B27" s="7" t="inlineStr">
        <is>
          <t>Novo Momento = Momento Anterior - Momento Removido + Momento Instalado</t>
        </is>
      </c>
      <c r="E27" s="15">
        <f>SOMA(E13:E20) (com pesos e momentos negativos para remoção)</f>
        <v/>
      </c>
    </row>
  </sheetData>
  <mergeCells count="30">
    <mergeCell ref="E13:G13"/>
    <mergeCell ref="C15:D15"/>
    <mergeCell ref="B23:D23"/>
    <mergeCell ref="B8:G8"/>
    <mergeCell ref="C14:D14"/>
    <mergeCell ref="E15:G15"/>
    <mergeCell ref="C16:D16"/>
    <mergeCell ref="E27:G27"/>
    <mergeCell ref="B9:G9"/>
    <mergeCell ref="E26:G26"/>
    <mergeCell ref="B24:D24"/>
    <mergeCell ref="E25:G25"/>
    <mergeCell ref="E16:G16"/>
    <mergeCell ref="B6:G6"/>
    <mergeCell ref="A1:G1"/>
    <mergeCell ref="E22:G22"/>
    <mergeCell ref="B26:D26"/>
    <mergeCell ref="E21:G21"/>
    <mergeCell ref="C17:D17"/>
    <mergeCell ref="B25:D25"/>
    <mergeCell ref="B7:G7"/>
    <mergeCell ref="E24:G24"/>
    <mergeCell ref="E14:G14"/>
    <mergeCell ref="B22:D22"/>
    <mergeCell ref="E23:G23"/>
    <mergeCell ref="B27:D27"/>
    <mergeCell ref="E17:G17"/>
    <mergeCell ref="A2:G2"/>
    <mergeCell ref="C13:D13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73" customWidth="1" min="1" max="1"/>
    <col width="27" customWidth="1" min="2" max="2"/>
    <col width="34" customWidth="1" min="3" max="3"/>
    <col width="25" customWidth="1" min="4" max="4"/>
    <col width="46" customWidth="1" min="5" max="5"/>
    <col width="72" customWidth="1" min="6" max="6"/>
    <col width="38" customWidth="1" min="7" max="7"/>
  </cols>
  <sheetData>
    <row r="1" ht="28" customHeight="1">
      <c r="A1" s="1" t="inlineStr">
        <is>
          <t>RELATÓRIO TÉCNICO DE PESAGEM PERIÓDICA EM HANGAR — CESSNA 172 SKYHAWK</t>
        </is>
      </c>
    </row>
    <row r="2" ht="20" customHeight="1">
      <c r="A2" s="2" t="inlineStr">
        <is>
          <t>Atividade 1 (Fazer Junto): Determinação do Peso Básico Vazio (BEW) e Centro de Gravidade Vazio (EWCG) com Referência Absoluta à Tara</t>
        </is>
      </c>
    </row>
    <row r="3"/>
    <row r="4" ht="22" customHeight="1">
      <c r="A4" s="16" t="inlineStr">
        <is>
          <t>PARÂMETROS DE CERTIFICAÇÃO DA AERONAVE &amp; DADOS DA PESAGEM (TRAVAR CÉLULAS COM $)</t>
        </is>
      </c>
    </row>
    <row r="5" ht="20" customHeight="1">
      <c r="A5" s="17" t="inlineStr">
        <is>
          <t>Peso Máximo de Decolagem Homologado (MTOW)</t>
        </is>
      </c>
      <c r="C5" s="18" t="n">
        <v>2550</v>
      </c>
      <c r="D5" s="19" t="inlineStr">
        <is>
          <t>lb</t>
        </is>
      </c>
      <c r="E5" s="12" t="inlineStr">
        <is>
          <t>Célula $C$5</t>
        </is>
      </c>
      <c r="F5" s="20" t="inlineStr">
        <is>
          <t>Limite estrutural estabelecido no TCDS 3A12 da FAA/ANAC</t>
        </is>
      </c>
    </row>
    <row r="6" ht="20" customHeight="1">
      <c r="A6" s="17" t="inlineStr">
        <is>
          <t>Limite Dianteiro de EWCG no TCDS (Forward Limit)</t>
        </is>
      </c>
      <c r="C6" s="18" t="n">
        <v>82</v>
      </c>
      <c r="D6" s="19" t="inlineStr">
        <is>
          <t>pol</t>
        </is>
      </c>
      <c r="E6" s="12" t="inlineStr">
        <is>
          <t>Célula $C$6</t>
        </is>
      </c>
      <c r="F6" s="20" t="inlineStr">
        <is>
          <t>Faixa dianteira mínima para liberação técnica da célula</t>
        </is>
      </c>
    </row>
    <row r="7" ht="20" customHeight="1">
      <c r="A7" s="17" t="inlineStr">
        <is>
          <t>Tara Fixa dos Calços / Macacos de Pesagem</t>
        </is>
      </c>
      <c r="C7" s="18" t="n">
        <v>12</v>
      </c>
      <c r="D7" s="19" t="inlineStr">
        <is>
          <t>lb</t>
        </is>
      </c>
      <c r="E7" s="12" t="inlineStr">
        <is>
          <t>Célula $C$7</t>
        </is>
      </c>
      <c r="F7" s="20" t="inlineStr">
        <is>
          <t>Peso dos calços e adaptadores sobre cada balança (Descontar via $C$7)</t>
        </is>
      </c>
    </row>
    <row r="8" ht="20" customHeight="1">
      <c r="A8" s="17" t="inlineStr">
        <is>
          <t>Limite Traseiro de EWCG no TCDS (Aft Limit)</t>
        </is>
      </c>
      <c r="C8" s="18" t="n">
        <v>86.5</v>
      </c>
      <c r="D8" s="19" t="inlineStr">
        <is>
          <t>pol</t>
        </is>
      </c>
      <c r="E8" s="12" t="inlineStr">
        <is>
          <t>Célula $C$8</t>
        </is>
      </c>
      <c r="F8" s="20" t="inlineStr">
        <is>
          <t>Faixa traseira máxima do peso vazio para estabilidade estática</t>
        </is>
      </c>
    </row>
    <row r="9" ht="20" customHeight="1">
      <c r="A9" s="17" t="inlineStr">
        <is>
          <t>Densidade Padronizada do Combustível Residual (AvGas)</t>
        </is>
      </c>
      <c r="C9" s="18" t="n">
        <v>6</v>
      </c>
      <c r="D9" s="19" t="inlineStr">
        <is>
          <t>lb/gal</t>
        </is>
      </c>
      <c r="E9" s="12" t="inlineStr">
        <is>
          <t>Célula $C$9</t>
        </is>
      </c>
      <c r="F9" s="20" t="inlineStr">
        <is>
          <t>Fator de conversão da tara de combustível inutilizável</t>
        </is>
      </c>
    </row>
    <row r="10"/>
    <row r="11">
      <c r="A11" s="3" t="inlineStr">
        <is>
          <t>LEITURAS DAS CÉLULAS DE CARGA (BALANÇAS CALIBRADAS DE HANGAR)</t>
        </is>
      </c>
    </row>
    <row r="12" ht="26" customHeight="1">
      <c r="A12" s="21" t="inlineStr">
        <is>
          <t>Ponto de Pesagem / Célula de Carga</t>
        </is>
      </c>
      <c r="B12" s="21" t="inlineStr">
        <is>
          <t>Leitura Bruta (lb)</t>
        </is>
      </c>
      <c r="C12" s="21" t="inlineStr">
        <is>
          <t>PESO LÍQUIDO (lb) [=Bruto-$C$7]</t>
        </is>
      </c>
      <c r="D12" s="21" t="inlineStr">
        <is>
          <t>Braço da Balança (pol)</t>
        </is>
      </c>
      <c r="E12" s="21" t="inlineStr">
        <is>
          <t>MOMENTO (lb.pol) [=P*B]</t>
        </is>
      </c>
      <c r="F12" s="21" t="inlineStr">
        <is>
          <t>Fórmula Sugerida no Excel</t>
        </is>
      </c>
      <c r="G12" s="21" t="inlineStr">
        <is>
          <t>Referência Técnica no Hangar</t>
        </is>
      </c>
    </row>
    <row r="13" ht="22" customHeight="1">
      <c r="A13" s="22" t="inlineStr">
        <is>
          <t>Trem Principal Esquerdo (LMLG - Left Main Gear)</t>
        </is>
      </c>
      <c r="B13" s="23" t="n">
        <v>685</v>
      </c>
      <c r="C13" s="24" t="n"/>
      <c r="D13" s="23" t="n">
        <v>90.5</v>
      </c>
      <c r="E13" s="24" t="n"/>
      <c r="F13" s="15" t="inlineStr">
        <is>
          <t>Peso: =B13-$C$7 | Mom: =C13*D13</t>
        </is>
      </c>
      <c r="G13" s="25" t="inlineStr">
        <is>
          <t>Balança Digital Hangar RBC #1</t>
        </is>
      </c>
    </row>
    <row r="14" ht="22" customHeight="1">
      <c r="A14" s="22" t="inlineStr">
        <is>
          <t>Trem Principal Direito (RMLG - Right Main Gear)</t>
        </is>
      </c>
      <c r="B14" s="23" t="n">
        <v>692</v>
      </c>
      <c r="C14" s="24" t="n"/>
      <c r="D14" s="23" t="n">
        <v>90.5</v>
      </c>
      <c r="E14" s="24" t="n"/>
      <c r="F14" s="15" t="inlineStr">
        <is>
          <t>Peso: =B14-$C$7 | Mom: =C14*D14</t>
        </is>
      </c>
      <c r="G14" s="25" t="inlineStr">
        <is>
          <t>Balança Digital Hangar RBC #2</t>
        </is>
      </c>
    </row>
    <row r="15" ht="22" customHeight="1">
      <c r="A15" s="22" t="inlineStr">
        <is>
          <t>Trem de Nariz (NLG - Nose Landing Gear)</t>
        </is>
      </c>
      <c r="B15" s="23" t="n">
        <v>311</v>
      </c>
      <c r="C15" s="24" t="n"/>
      <c r="D15" s="23" t="n">
        <v>42</v>
      </c>
      <c r="E15" s="24" t="n"/>
      <c r="F15" s="15" t="inlineStr">
        <is>
          <t>Peso: =B15-$C$7 | Mom: =C15*D15</t>
        </is>
      </c>
      <c r="G15" s="25" t="inlineStr">
        <is>
          <t>Balança de Nariz / Jack Hangar #3</t>
        </is>
      </c>
    </row>
    <row r="16" ht="22" customHeight="1">
      <c r="A16" s="22" t="inlineStr">
        <is>
          <t>Combustível Inutilizável Drenado (Dedução)</t>
        </is>
      </c>
      <c r="B16" s="23" t="n">
        <v>-18</v>
      </c>
      <c r="C16" s="23" t="n">
        <v>-18</v>
      </c>
      <c r="D16" s="23" t="n">
        <v>95</v>
      </c>
      <c r="E16" s="24" t="n"/>
      <c r="F16" s="15" t="inlineStr">
        <is>
          <t>Mom: =C16*D16</t>
        </is>
      </c>
      <c r="G16" s="25" t="inlineStr">
        <is>
          <t>Combustível residual nas tubulações</t>
        </is>
      </c>
    </row>
    <row r="17" ht="24" customHeight="1">
      <c r="A17" s="26" t="inlineStr">
        <is>
          <t>PESO BÁSICO VAZIO (BEW) &amp; MOMENTO VAZIO TOTAL DA AERONAVE</t>
        </is>
      </c>
      <c r="C17" s="24" t="n"/>
      <c r="D17" s="27" t="inlineStr">
        <is>
          <t>—</t>
        </is>
      </c>
      <c r="E17" s="24" t="n"/>
      <c r="F17" s="28">
        <f>SOMA(C13:C16) e =SOMA(E13:E16)</f>
        <v/>
      </c>
      <c r="G17" s="27" t="inlineStr">
        <is>
          <t>Somatórias Finais</t>
        </is>
      </c>
    </row>
    <row r="18"/>
    <row r="19">
      <c r="A19" s="3" t="inlineStr">
        <is>
          <t>PAINEL DE CERTIFICAÇÃO &amp; LAUDO TÉCNICO DE PESAGEM DO HANGAR</t>
        </is>
      </c>
    </row>
    <row r="20" ht="26" customHeight="1">
      <c r="A20" s="29" t="inlineStr">
        <is>
          <t>Parâmetro de Aeronavegabilidade</t>
        </is>
      </c>
      <c r="B20" s="29" t="inlineStr">
        <is>
          <t>Fórmula a ser Construída</t>
        </is>
      </c>
      <c r="C20" s="29" t="inlineStr">
        <is>
          <t>Valor Calculado</t>
        </is>
      </c>
      <c r="D20" s="29" t="inlineStr">
        <is>
          <t>Unidade</t>
        </is>
      </c>
      <c r="E20" s="29" t="inlineStr">
        <is>
          <t>Critério Homologado (TCDS)</t>
        </is>
      </c>
      <c r="F20" s="29" t="inlineStr">
        <is>
          <t>Laudo Técnico de Liberação</t>
        </is>
      </c>
      <c r="G20" s="29" t="inlineStr">
        <is>
          <t>Tipo de Referência Utilizada</t>
        </is>
      </c>
    </row>
    <row r="21" ht="24" customHeight="1">
      <c r="A21" s="22" t="inlineStr">
        <is>
          <t>Centro de Gravidade Vazio (EWCG)</t>
        </is>
      </c>
      <c r="B21" s="15">
        <f>E17/C17</f>
        <v/>
      </c>
      <c r="C21" s="30" t="n"/>
      <c r="D21" s="31" t="inlineStr">
        <is>
          <t>pol</t>
        </is>
      </c>
      <c r="E21" s="7" t="inlineStr">
        <is>
          <t>82,0 pol a 86,5 pol (TCDS)</t>
        </is>
      </c>
      <c r="F21" s="32" t="inlineStr">
        <is>
          <t>Aguardando pesagem...</t>
        </is>
      </c>
      <c r="G21" s="25" t="inlineStr">
        <is>
          <t>Relativa (=Momento / Peso)</t>
        </is>
      </c>
    </row>
    <row r="22" ht="24" customHeight="1">
      <c r="A22" s="22" t="inlineStr">
        <is>
          <t>Nova Carga Útil Disponível (Useful Load)</t>
        </is>
      </c>
      <c r="B22" s="15">
        <f>$C$5-C17</f>
        <v/>
      </c>
      <c r="C22" s="24" t="n"/>
      <c r="D22" s="31" t="inlineStr">
        <is>
          <t>lb</t>
        </is>
      </c>
      <c r="E22" s="7" t="inlineStr">
        <is>
          <t>Deve ser &gt; 850 lb para operação comercial</t>
        </is>
      </c>
      <c r="F22" s="32" t="inlineStr">
        <is>
          <t>Aguardando pesagem...</t>
        </is>
      </c>
      <c r="G22" s="25" t="inlineStr">
        <is>
          <t>ABSOLUTA: MTOW fixado ($C$5)</t>
        </is>
      </c>
    </row>
    <row r="23" ht="24" customHeight="1">
      <c r="A23" s="22" t="inlineStr">
        <is>
          <t>Porcentagem de Peso Vazio em relação ao MTOW</t>
        </is>
      </c>
      <c r="B23" s="15">
        <f>C17/$C$5</f>
        <v/>
      </c>
      <c r="C23" s="33" t="n"/>
      <c r="D23" s="31" t="inlineStr">
        <is>
          <t>%</t>
        </is>
      </c>
      <c r="E23" s="7" t="inlineStr">
        <is>
          <t>Referência histórica de projeto (60% a 66%)</t>
        </is>
      </c>
      <c r="F23" s="32" t="inlineStr">
        <is>
          <t>Aguardando pesagem...</t>
        </is>
      </c>
      <c r="G23" s="25" t="inlineStr">
        <is>
          <t>ABSOLUTA: MTOW fixado ($C$5)</t>
        </is>
      </c>
    </row>
    <row r="24" ht="24" customHeight="1">
      <c r="A24" s="22" t="inlineStr">
        <is>
          <t>Assinatura do Laudo / Parecer de Retorno ao Serviço</t>
        </is>
      </c>
      <c r="B24" s="15" t="inlineStr">
        <is>
          <t>Decisão Técnica</t>
        </is>
      </c>
      <c r="C24" s="34" t="n"/>
      <c r="D24" s="31" t="inlineStr">
        <is>
          <t>Status</t>
        </is>
      </c>
      <c r="E24" s="7" t="inlineStr">
        <is>
          <t>RBAC 43.9 / Apêndice B</t>
        </is>
      </c>
      <c r="F24" s="32" t="inlineStr">
        <is>
          <t>Aguardando pesagem...</t>
        </is>
      </c>
      <c r="G24" s="25" t="inlineStr">
        <is>
          <t>Certificação de Hangar</t>
        </is>
      </c>
    </row>
    <row r="25"/>
    <row r="26">
      <c r="A26" s="35" t="inlineStr">
        <is>
          <t>PROCEDIMENTO DE MANUTENÇÃO AERONÁUTICA (ATIVIDADE 1):
1. Desconto da Tara com $: Na coluna C (linhas 13 a 15), desconte a tara calibrada da balança digitando =B13-$C$7. Trave com $C$7 (tecla F4) e arraste para baixo.
2. Momento de cada ponto: Na coluna E (linhas 13 a 16), multiplique Peso Líquido por Braço (=C13*D13) e dê duplo clique para arrastar.
3. Totais do Hangar: Na linha 17, some os pesos (=SOMA(C13:C16)) para obter o Peso Básico Vazio (BEW = 1.642,0 lb) e os momentos (=SOMA(E13:E16) = 135.034,0 lb.pol).
4. EWCG e Carga Útil com $: Em C21, calcule o EWCG (=E17/C17 = 82,24 pol). Em C22, calcule a nova Carga Útil subtraindo o BEW do MTOW fixado: =$C$5-C17.</t>
        </is>
      </c>
    </row>
    <row r="27"/>
    <row r="28"/>
    <row r="29"/>
  </sheetData>
  <mergeCells count="15">
    <mergeCell ref="A4:E4"/>
    <mergeCell ref="A1:G1"/>
    <mergeCell ref="A7:B7"/>
    <mergeCell ref="A26:G29"/>
    <mergeCell ref="F5:G5"/>
    <mergeCell ref="A5:B5"/>
    <mergeCell ref="A2:G2"/>
    <mergeCell ref="F6:G6"/>
    <mergeCell ref="A17:B17"/>
    <mergeCell ref="A9:B9"/>
    <mergeCell ref="A8:B8"/>
    <mergeCell ref="A6:B6"/>
    <mergeCell ref="F9:G9"/>
    <mergeCell ref="F7:G7"/>
    <mergeCell ref="F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770" customWidth="1" min="1" max="1"/>
    <col width="46" customWidth="1" min="2" max="2"/>
    <col width="20" customWidth="1" min="3" max="3"/>
    <col width="18" customWidth="1" min="4" max="4"/>
    <col width="49" customWidth="1" min="5" max="5"/>
    <col width="65" customWidth="1" min="6" max="6"/>
    <col width="38" customWidth="1" min="7" max="7"/>
  </cols>
  <sheetData>
    <row r="1" ht="28" customHeight="1">
      <c r="A1" s="1" t="inlineStr">
        <is>
          <t>ALTERAÇÃO DE PESO E BALANCEAMENTO PÓS-MODIFICAÇÃO (MAJOR ALTERATION / STC)</t>
        </is>
      </c>
    </row>
    <row r="2" ht="20" customHeight="1">
      <c r="A2" s="2" t="inlineStr">
        <is>
          <t>Atividade 2 (Fazer Junto): Registro Técnico de Remoção (-P, -M) e Instalação (+P, +M) de Aviônicos e Bateria Leve (RBAC 43 - Form 337)</t>
        </is>
      </c>
    </row>
    <row r="3"/>
    <row r="4" ht="22" customHeight="1">
      <c r="A4" s="16" t="inlineStr">
        <is>
          <t>PARÂMETROS DE CERTIFICAÇÃO DA MODIFICAÇÃO (CÉLULAS COM $ PARA REFERÊNCIA ABSOLUTA)</t>
        </is>
      </c>
    </row>
    <row r="5" ht="20" customHeight="1">
      <c r="A5" s="17" t="inlineStr">
        <is>
          <t>Peso Máximo de Decolagem (MTOW)</t>
        </is>
      </c>
      <c r="C5" s="18" t="n">
        <v>2550</v>
      </c>
      <c r="D5" s="19" t="inlineStr">
        <is>
          <t>lb</t>
        </is>
      </c>
      <c r="E5" s="12" t="inlineStr">
        <is>
          <t>Célula $C$5</t>
        </is>
      </c>
      <c r="F5" s="20" t="inlineStr">
        <is>
          <t>Limite de massa para cálculo da nova carga útil disponível</t>
        </is>
      </c>
    </row>
    <row r="6" ht="20" customHeight="1">
      <c r="A6" s="17" t="inlineStr">
        <is>
          <t>Limite Dianteiro de EWCG no TCDS</t>
        </is>
      </c>
      <c r="C6" s="18" t="n">
        <v>82</v>
      </c>
      <c r="D6" s="19" t="inlineStr">
        <is>
          <t>pol</t>
        </is>
      </c>
      <c r="E6" s="12" t="inlineStr">
        <is>
          <t>Célula $C$6</t>
        </is>
      </c>
      <c r="F6" s="20" t="inlineStr">
        <is>
          <t>Faixa dianteira mínima após alteração de componentes</t>
        </is>
      </c>
    </row>
    <row r="7" ht="20" customHeight="1">
      <c r="A7" s="17" t="inlineStr">
        <is>
          <t>Limite Traseiro de EWCG no TCDS</t>
        </is>
      </c>
      <c r="C7" s="18" t="n">
        <v>86.5</v>
      </c>
      <c r="D7" s="19" t="inlineStr">
        <is>
          <t>pol</t>
        </is>
      </c>
      <c r="E7" s="12" t="inlineStr">
        <is>
          <t>Célula $C$7</t>
        </is>
      </c>
      <c r="F7" s="20" t="inlineStr">
        <is>
          <t>Faixa traseira máxima para evitar instabilidade com peso vazio</t>
        </is>
      </c>
    </row>
    <row r="8" ht="20" customHeight="1">
      <c r="A8" s="17" t="inlineStr">
        <is>
          <t>Fator de Conversão Massa (lb -&gt; kg)</t>
        </is>
      </c>
      <c r="C8" s="36" t="n">
        <v>0.453592</v>
      </c>
      <c r="D8" s="19" t="inlineStr">
        <is>
          <t>kg / lb</t>
        </is>
      </c>
      <c r="E8" s="12" t="inlineStr">
        <is>
          <t>Célula $C$8</t>
        </is>
      </c>
      <c r="F8" s="20" t="inlineStr">
        <is>
          <t>Fator internacional para atualização do manual em quilogramas</t>
        </is>
      </c>
    </row>
    <row r="9" ht="20" customHeight="1">
      <c r="A9" s="17" t="inlineStr">
        <is>
          <t>Fator de Conversão Comprimento (pol -&gt; mm)</t>
        </is>
      </c>
      <c r="C9" s="36" t="n">
        <v>25.4</v>
      </c>
      <c r="D9" s="19" t="inlineStr">
        <is>
          <t>mm / pol</t>
        </is>
      </c>
      <c r="E9" s="12" t="inlineStr">
        <is>
          <t>Célula $C$9</t>
        </is>
      </c>
      <c r="F9" s="20" t="inlineStr">
        <is>
          <t>Fator internacional para desenho técnico de montagem mecânica</t>
        </is>
      </c>
    </row>
    <row r="10"/>
    <row r="11">
      <c r="A11" s="3" t="inlineStr">
        <is>
          <t>TABELA DE REGISTRO TÉCNICO DE REMOÇÃO E INSTALAÇÃO DE COMPONENTES</t>
        </is>
      </c>
    </row>
    <row r="12" ht="26" customHeight="1">
      <c r="A12" s="21" t="inlineStr">
        <is>
          <t>Ação de Manutenção / Componente</t>
        </is>
      </c>
      <c r="B12" s="21" t="inlineStr">
        <is>
          <t>Número de Peça (P/N) &amp; Descrição</t>
        </is>
      </c>
      <c r="C12" s="21" t="inlineStr">
        <is>
          <t>Peso (lb) [+/- P]</t>
        </is>
      </c>
      <c r="D12" s="21" t="inlineStr">
        <is>
          <t>Braço (pol) [B]</t>
        </is>
      </c>
      <c r="E12" s="21" t="inlineStr">
        <is>
          <t>MOMENTO (lb.pol) [=P*B]</t>
        </is>
      </c>
      <c r="F12" s="21" t="inlineStr">
        <is>
          <t>Fórmula Sugerida</t>
        </is>
      </c>
      <c r="G12" s="21" t="inlineStr">
        <is>
          <t>Impacto Técnico</t>
        </is>
      </c>
    </row>
    <row r="13" ht="20" customHeight="1">
      <c r="A13" s="22" t="inlineStr">
        <is>
          <t>Condição Anterior da Aeronave</t>
        </is>
      </c>
      <c r="B13" s="37" t="inlineStr">
        <is>
          <t>Peso Vazio Original registrado na Caderneta</t>
        </is>
      </c>
      <c r="C13" s="38" t="n">
        <v>1642</v>
      </c>
      <c r="D13" s="39" t="n">
        <v>82.23999999999999</v>
      </c>
      <c r="E13" s="24" t="n"/>
      <c r="F13" s="15">
        <f>C13*D13</f>
        <v/>
      </c>
      <c r="G13" s="25" t="inlineStr">
        <is>
          <t>Base de Cálculo Inicial</t>
        </is>
      </c>
    </row>
    <row r="14" ht="20" customHeight="1">
      <c r="A14" s="22" t="inlineStr">
        <is>
          <t>REMOÇÃO: Rádio VHF King KX-170B Antigo</t>
        </is>
      </c>
      <c r="B14" s="37" t="inlineStr">
        <is>
          <t>P/N 069-1020-00 (VHF/NAV Analógico)</t>
        </is>
      </c>
      <c r="C14" s="23" t="n">
        <v>-15</v>
      </c>
      <c r="D14" s="39" t="n">
        <v>56</v>
      </c>
      <c r="E14" s="24" t="n"/>
      <c r="F14" s="15">
        <f>C14*D14</f>
        <v/>
      </c>
      <c r="G14" s="25" t="inlineStr">
        <is>
          <t>Alívio de peso no painel</t>
        </is>
      </c>
    </row>
    <row r="15" ht="20" customHeight="1">
      <c r="A15" s="22" t="inlineStr">
        <is>
          <t>REMOÇÃO: Receptor ADF King KR-87</t>
        </is>
      </c>
      <c r="B15" s="37" t="inlineStr">
        <is>
          <t>P/N 066-1072-00 (Com antena de quadro)</t>
        </is>
      </c>
      <c r="C15" s="23" t="n">
        <v>-18</v>
      </c>
      <c r="D15" s="39" t="n">
        <v>62</v>
      </c>
      <c r="E15" s="24" t="n"/>
      <c r="F15" s="15">
        <f>C15*D15</f>
        <v/>
      </c>
      <c r="G15" s="25" t="inlineStr">
        <is>
          <t>Alívio de peso na cabine</t>
        </is>
      </c>
    </row>
    <row r="16" ht="20" customHeight="1">
      <c r="A16" s="22" t="inlineStr">
        <is>
          <t>REMOÇÃO: Sistema de Vácuo (Giro + Bomba)</t>
        </is>
      </c>
      <c r="B16" s="37" t="inlineStr">
        <is>
          <t>P/N 215CC (Bomba + Horizon + DG pneumático)</t>
        </is>
      </c>
      <c r="C16" s="23" t="n">
        <v>-12.5</v>
      </c>
      <c r="D16" s="39" t="n">
        <v>45</v>
      </c>
      <c r="E16" s="24" t="n"/>
      <c r="F16" s="15">
        <f>C16*D16</f>
        <v/>
      </c>
      <c r="G16" s="25" t="inlineStr">
        <is>
          <t>Eliminação do sistema pneumático</t>
        </is>
      </c>
    </row>
    <row r="17" ht="20" customHeight="1">
      <c r="A17" s="22" t="inlineStr">
        <is>
          <t>REMOÇÃO: Bateria Chumbo-Ácido Original</t>
        </is>
      </c>
      <c r="B17" s="37" t="inlineStr">
        <is>
          <t>P/N RG-35A (Bateria pesada original)</t>
        </is>
      </c>
      <c r="C17" s="23" t="n">
        <v>-28</v>
      </c>
      <c r="D17" s="39" t="n">
        <v>32</v>
      </c>
      <c r="E17" s="24" t="n"/>
      <c r="F17" s="15">
        <f>C17*D17</f>
        <v/>
      </c>
      <c r="G17" s="25" t="inlineStr">
        <is>
          <t>Substituição por tecnologia moderna</t>
        </is>
      </c>
    </row>
    <row r="18" ht="20" customHeight="1">
      <c r="A18" s="22" t="inlineStr">
        <is>
          <t>INSTALAÇÃO: Display Garmin GI-275 Digital</t>
        </is>
      </c>
      <c r="B18" s="37" t="inlineStr">
        <is>
          <t>P/N 010-02201-00 (Horizonte/HSI Eletrônico)</t>
        </is>
      </c>
      <c r="C18" s="23" t="n">
        <v>4.5</v>
      </c>
      <c r="D18" s="39" t="n">
        <v>55</v>
      </c>
      <c r="E18" s="24" t="n"/>
      <c r="F18" s="15">
        <f>C18*D18</f>
        <v/>
      </c>
      <c r="G18" s="25" t="inlineStr">
        <is>
          <t>Modernização Glass Cockpit</t>
        </is>
      </c>
    </row>
    <row r="19" ht="20" customHeight="1">
      <c r="A19" s="22" t="inlineStr">
        <is>
          <t>INSTALAÇÃO: Navegador GPS/NAV/COM GTN-650Xi</t>
        </is>
      </c>
      <c r="B19" s="37" t="inlineStr">
        <is>
          <t>P/N 010-02256-00 (GPS IFR Touchscreen)</t>
        </is>
      </c>
      <c r="C19" s="23" t="n">
        <v>7.8</v>
      </c>
      <c r="D19" s="39" t="n">
        <v>56.5</v>
      </c>
      <c r="E19" s="24" t="n"/>
      <c r="F19" s="15">
        <f>C19*D19</f>
        <v/>
      </c>
      <c r="G19" s="25" t="inlineStr">
        <is>
          <t>Modernização de navegação</t>
        </is>
      </c>
    </row>
    <row r="20" ht="20" customHeight="1">
      <c r="A20" s="22" t="inlineStr">
        <is>
          <t>INSTALAÇÃO: Bateria Leve de Íon-Lítio</t>
        </is>
      </c>
      <c r="B20" s="37" t="inlineStr">
        <is>
          <t>P/N TB17 (Bateria de Lítio Certificada TSO)</t>
        </is>
      </c>
      <c r="C20" s="23" t="n">
        <v>14.2</v>
      </c>
      <c r="D20" s="39" t="n">
        <v>32</v>
      </c>
      <c r="E20" s="24" t="n"/>
      <c r="F20" s="15">
        <f>C20*D20</f>
        <v/>
      </c>
      <c r="G20" s="25" t="inlineStr">
        <is>
          <t>Redução expressiva de peso</t>
        </is>
      </c>
    </row>
    <row r="21" ht="24" customHeight="1">
      <c r="A21" s="26" t="inlineStr">
        <is>
          <t>NOVO PESO BÁSICO VAZIO (NOVO BEW) &amp; NOVO MOMENTO VAZIO</t>
        </is>
      </c>
      <c r="C21" s="24" t="n"/>
      <c r="D21" s="27" t="inlineStr">
        <is>
          <t>—</t>
        </is>
      </c>
      <c r="E21" s="24" t="n"/>
      <c r="F21" s="28">
        <f>SOMA(C13:C20) e =SOMA(E13:E20)</f>
        <v/>
      </c>
      <c r="G21" s="27" t="inlineStr">
        <is>
          <t>Novo Peso Homologado</t>
        </is>
      </c>
    </row>
    <row r="22"/>
    <row r="23">
      <c r="A23" s="3" t="inlineStr">
        <is>
          <t>CONSEQUÊNCIAS TÉCNICAS DA MODIFICAÇÃO (LAUDO DA OFICINA DE AVIÔNICOS)</t>
        </is>
      </c>
    </row>
    <row r="24" ht="26" customHeight="1">
      <c r="A24" s="29" t="inlineStr">
        <is>
          <t>Resultado da Modificação</t>
        </is>
      </c>
      <c r="B24" s="29" t="inlineStr">
        <is>
          <t>Fórmula no Excel</t>
        </is>
      </c>
      <c r="C24" s="29" t="inlineStr">
        <is>
          <t>Valor Calculado</t>
        </is>
      </c>
      <c r="D24" s="29" t="inlineStr">
        <is>
          <t>Unidade</t>
        </is>
      </c>
      <c r="E24" s="29" t="inlineStr">
        <is>
          <t>Parâmetro Homologado</t>
        </is>
      </c>
      <c r="F24" s="29" t="inlineStr">
        <is>
          <t>Avaliação Técnica</t>
        </is>
      </c>
      <c r="G24" s="29" t="inlineStr">
        <is>
          <t>Uso da Referência Absoluta ($)</t>
        </is>
      </c>
    </row>
    <row r="25" ht="24" customHeight="1">
      <c r="A25" s="22" t="inlineStr">
        <is>
          <t>Novo Centro de Gravidade Vazio (Novo EWCG)</t>
        </is>
      </c>
      <c r="B25" s="15">
        <f>E21/C21</f>
        <v/>
      </c>
      <c r="C25" s="30" t="n"/>
      <c r="D25" s="31" t="inlineStr">
        <is>
          <t>pol</t>
        </is>
      </c>
      <c r="E25" s="7" t="inlineStr">
        <is>
          <t>82,0 pol a 86,5 pol</t>
        </is>
      </c>
      <c r="F25" s="32" t="inlineStr">
        <is>
          <t>Aguardando cálculo...</t>
        </is>
      </c>
      <c r="G25" s="25" t="inlineStr">
        <is>
          <t>Relativa (=Novo_M / Novo_P)</t>
        </is>
      </c>
    </row>
    <row r="26" ht="24" customHeight="1">
      <c r="A26" s="22" t="inlineStr">
        <is>
          <t>Deslocamento do CG após a Modificação (Delta CG)</t>
        </is>
      </c>
      <c r="B26" s="15">
        <f>C25-D13</f>
        <v/>
      </c>
      <c r="C26" s="30" t="n"/>
      <c r="D26" s="31" t="inlineStr">
        <is>
          <t>pol</t>
        </is>
      </c>
      <c r="E26" s="7" t="inlineStr">
        <is>
          <t>Variação admissível da envoltória</t>
        </is>
      </c>
      <c r="F26" s="32" t="inlineStr">
        <is>
          <t>Aguardando cálculo...</t>
        </is>
      </c>
      <c r="G26" s="25" t="inlineStr">
        <is>
          <t>Relativa (=Novo_CG - CG_Antigo)</t>
        </is>
      </c>
    </row>
    <row r="27" ht="24" customHeight="1">
      <c r="A27" s="22" t="inlineStr">
        <is>
          <t>Nova Carga Útil Disponível (Useful Load)</t>
        </is>
      </c>
      <c r="B27" s="15">
        <f>$C$5-C21</f>
        <v/>
      </c>
      <c r="C27" s="30" t="n"/>
      <c r="D27" s="31" t="inlineStr">
        <is>
          <t>lb</t>
        </is>
      </c>
      <c r="E27" s="7" t="inlineStr">
        <is>
          <t>Capacidade de carga para combustível/ocupantes</t>
        </is>
      </c>
      <c r="F27" s="32" t="inlineStr">
        <is>
          <t>Aguardando cálculo...</t>
        </is>
      </c>
      <c r="G27" s="25" t="inlineStr">
        <is>
          <t>ABSOLUTA: Célula $C$5 travada</t>
        </is>
      </c>
    </row>
    <row r="28" ht="24" customHeight="1">
      <c r="A28" s="22" t="inlineStr">
        <is>
          <t>Novo Peso Vazio em Quilogramas (SI)</t>
        </is>
      </c>
      <c r="B28" s="15">
        <f>C21*$C$8</f>
        <v/>
      </c>
      <c r="C28" s="30" t="n"/>
      <c r="D28" s="31" t="inlineStr">
        <is>
          <t>kg</t>
        </is>
      </c>
      <c r="E28" s="7" t="inlineStr">
        <is>
          <t>Registro para manuais padrão ICAO</t>
        </is>
      </c>
      <c r="F28" s="32" t="inlineStr">
        <is>
          <t>Aguardando cálculo...</t>
        </is>
      </c>
      <c r="G28" s="25" t="inlineStr">
        <is>
          <t>ABSOLUTA: Fator $C$8 travado</t>
        </is>
      </c>
    </row>
    <row r="29"/>
    <row r="30">
      <c r="A30" s="35" t="inlineStr">
        <is>
          <t>ORIENTAÇÕES PRÁTICAS DA ATIVIDADE 2 (OFICINA DE AVIÔNICOS):
1. Sinal dos Componentes: Note que equipamentos removidos entram com sinal NEGATIVO (-15 lb, -18 lb, -12,5 lb, -28 lb), gerando momentos negativos automaticamente (=C*D).
2. Totalização do Novo Peso Vazio: Na célula C21, utilize =SOMA(C13:C20). O novo peso cai de 1.642,0 lb para 1.595,0 lb (uma economia de 47 lb de peso morto!).
3. Nova Carga Útil com $: Em C27, calcule a nova carga útil subtraindo o novo peso vazio do MTOW homologado: =$C$5-C21. A carga útil aumentou de 908 lb para 955 lb!
4. Conversão Internacional com $: Em C28, converta o novo peso para kg multiplicando pela célula absoluta $C$8 (=C21*$C$8 = 723,48 kg). A fixação com $ garante que a fórmula funcione corretamente ao ser copiada.</t>
        </is>
      </c>
    </row>
    <row r="31"/>
    <row r="32"/>
    <row r="33"/>
    <row r="34"/>
  </sheetData>
  <mergeCells count="15">
    <mergeCell ref="A21:B21"/>
    <mergeCell ref="A4:E4"/>
    <mergeCell ref="A1:G1"/>
    <mergeCell ref="A7:B7"/>
    <mergeCell ref="F5:G5"/>
    <mergeCell ref="A30:G34"/>
    <mergeCell ref="A5:B5"/>
    <mergeCell ref="A2:G2"/>
    <mergeCell ref="F6:G6"/>
    <mergeCell ref="A9:B9"/>
    <mergeCell ref="A8:B8"/>
    <mergeCell ref="A6:B6"/>
    <mergeCell ref="F9:G9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093" customWidth="1" min="1" max="1"/>
    <col width="38" customWidth="1" min="2" max="2"/>
    <col width="34" customWidth="1" min="3" max="3"/>
    <col width="25" customWidth="1" min="4" max="4"/>
    <col width="42" customWidth="1" min="5" max="5"/>
    <col width="72" customWidth="1" min="6" max="6"/>
    <col width="46" customWidth="1" min="7" max="7"/>
  </cols>
  <sheetData>
    <row r="1" ht="28" customHeight="1">
      <c r="A1" s="1" t="inlineStr">
        <is>
          <t>EXERCÍCIO DE FIXAÇÃO: PESAGEM E BALANCEAMENTO PÓS-REVISÃO GERAL (OVERHAUL) — BEECHCRAFT BARON 58</t>
        </is>
      </c>
    </row>
    <row r="2" ht="20" customHeight="1">
      <c r="A2" s="2" t="inlineStr">
        <is>
          <t>Atividade 3 (Exercício Autônomo de Manutenção): Pesagem de Células de Carga, Repintura, Motores Novos e Liberação Técnica RTS</t>
        </is>
      </c>
    </row>
    <row r="3"/>
    <row r="4" ht="22" customHeight="1">
      <c r="A4" s="16" t="inlineStr">
        <is>
          <t>PARÂMETROS REGULAMENTARES DO MANUAL DE MANUTENÇÃO (AMM) DO BIMOTOR — TRAVE COM $!</t>
        </is>
      </c>
    </row>
    <row r="5" ht="20" customHeight="1">
      <c r="A5" s="17" t="inlineStr">
        <is>
          <t>Peso Máximo de Decolagem Homologado (MTOW)</t>
        </is>
      </c>
      <c r="C5" s="18" t="n">
        <v>5400</v>
      </c>
      <c r="D5" s="19" t="inlineStr">
        <is>
          <t>lb</t>
        </is>
      </c>
      <c r="E5" s="12" t="inlineStr">
        <is>
          <t>Célula $C$5</t>
        </is>
      </c>
      <c r="F5" s="20" t="inlineStr">
        <is>
          <t>Capacidade estrutural máxima certificada no TCDS A17CE</t>
        </is>
      </c>
    </row>
    <row r="6" ht="20" customHeight="1">
      <c r="A6" s="17" t="inlineStr">
        <is>
          <t>Limite Dianteiro de EWCG no TCDS (Forward Limit)</t>
        </is>
      </c>
      <c r="C6" s="18" t="n">
        <v>84</v>
      </c>
      <c r="D6" s="19" t="inlineStr">
        <is>
          <t>pol</t>
        </is>
      </c>
      <c r="E6" s="12" t="inlineStr">
        <is>
          <t>Célula $C$6</t>
        </is>
      </c>
      <c r="F6" s="20" t="inlineStr">
        <is>
          <t>Faixa dianteira mínima para liberação técnica da aeronave</t>
        </is>
      </c>
    </row>
    <row r="7" ht="20" customHeight="1">
      <c r="A7" s="17" t="inlineStr">
        <is>
          <t>Limite Traseiro de EWCG no TCDS (Aft Limit)</t>
        </is>
      </c>
      <c r="C7" s="18" t="n">
        <v>88.5</v>
      </c>
      <c r="D7" s="19" t="inlineStr">
        <is>
          <t>pol</t>
        </is>
      </c>
      <c r="E7" s="12" t="inlineStr">
        <is>
          <t>Célula $C$7</t>
        </is>
      </c>
      <c r="F7" s="20" t="inlineStr">
        <is>
          <t>Faixa traseira máxima do peso vazio antes do carregamento operacional</t>
        </is>
      </c>
    </row>
    <row r="8" ht="20" customHeight="1">
      <c r="A8" s="17" t="inlineStr">
        <is>
          <t>Tara Calibrada dos Macacos de Pesagem do Hangar</t>
        </is>
      </c>
      <c r="C8" s="18" t="n">
        <v>15</v>
      </c>
      <c r="D8" s="19" t="inlineStr">
        <is>
          <t>lb</t>
        </is>
      </c>
      <c r="E8" s="12" t="inlineStr">
        <is>
          <t>Célula $C$8</t>
        </is>
      </c>
      <c r="F8" s="20" t="inlineStr">
        <is>
          <t>Tara física por célula de carga (Descontar via $C$8)</t>
        </is>
      </c>
    </row>
    <row r="9" ht="20" customHeight="1">
      <c r="A9" s="17" t="inlineStr">
        <is>
          <t>Fator de Conversão Massa (lb -&gt; kg)</t>
        </is>
      </c>
      <c r="C9" s="36" t="n">
        <v>0.453592</v>
      </c>
      <c r="D9" s="19" t="inlineStr">
        <is>
          <t>kg / lb</t>
        </is>
      </c>
      <c r="E9" s="12" t="inlineStr">
        <is>
          <t>Célula $C$9</t>
        </is>
      </c>
      <c r="F9" s="20" t="inlineStr">
        <is>
          <t>Fator internacional para documentação de manutenção</t>
        </is>
      </c>
    </row>
    <row r="10" ht="20" customHeight="1">
      <c r="A10" s="17" t="inlineStr">
        <is>
          <t>Fator de Conversão Comprimento (pol -&gt; m)</t>
        </is>
      </c>
      <c r="C10" s="36" t="n">
        <v>0.0254</v>
      </c>
      <c r="D10" s="19" t="inlineStr">
        <is>
          <t>m / pol</t>
        </is>
      </c>
      <c r="E10" s="12" t="inlineStr">
        <is>
          <t>Célula $C$10</t>
        </is>
      </c>
      <c r="F10" s="20" t="inlineStr">
        <is>
          <t>Fator métrico para envelope no Sistema Internacional</t>
        </is>
      </c>
    </row>
    <row r="11"/>
    <row r="12">
      <c r="A12" s="3" t="inlineStr">
        <is>
          <t>DADOS DE PESAGEM NO HANGAR APÓS OVERHAUL DE MOTORES &amp; PINTURA GERAL</t>
        </is>
      </c>
    </row>
    <row r="13" ht="26" customHeight="1">
      <c r="A13" s="21" t="inlineStr">
        <is>
          <t>Item de Pesagem / Célula de Carga</t>
        </is>
      </c>
      <c r="B13" s="21" t="inlineStr">
        <is>
          <t>Leitura Bruta (lb)</t>
        </is>
      </c>
      <c r="C13" s="21" t="inlineStr">
        <is>
          <t>PESO LÍQUIDO (lb) [=Bruto-$C$8]</t>
        </is>
      </c>
      <c r="D13" s="21" t="inlineStr">
        <is>
          <t>Braço da Estação (pol)</t>
        </is>
      </c>
      <c r="E13" s="21" t="inlineStr">
        <is>
          <t>MOMENTO (lb.pol) [=P*B]</t>
        </is>
      </c>
      <c r="F13" s="21" t="inlineStr">
        <is>
          <t>Fórmula a ser Construída</t>
        </is>
      </c>
      <c r="G13" s="21" t="inlineStr">
        <is>
          <t>Referência de Manutenção</t>
        </is>
      </c>
    </row>
    <row r="14" ht="20" customHeight="1">
      <c r="A14" s="22" t="inlineStr">
        <is>
          <t>Trem Principal Esquerdo (LMLG)</t>
        </is>
      </c>
      <c r="B14" s="23" t="n">
        <v>1485</v>
      </c>
      <c r="C14" s="24" t="n"/>
      <c r="D14" s="23" t="n">
        <v>96.5</v>
      </c>
      <c r="E14" s="24" t="n"/>
      <c r="F14" s="15">
        <f>B14-$C$8 | =C14*D14</f>
        <v/>
      </c>
      <c r="G14" s="25" t="inlineStr">
        <is>
          <t>Célula de Carga RBC #1 (Asa Esquerda)</t>
        </is>
      </c>
    </row>
    <row r="15" ht="20" customHeight="1">
      <c r="A15" s="22" t="inlineStr">
        <is>
          <t>Trem Principal Direito (RMLG)</t>
        </is>
      </c>
      <c r="B15" s="23" t="n">
        <v>1492</v>
      </c>
      <c r="C15" s="24" t="n"/>
      <c r="D15" s="23" t="n">
        <v>96.5</v>
      </c>
      <c r="E15" s="24" t="n"/>
      <c r="F15" s="15">
        <f>B15-$C$8 | =C15*D15</f>
        <v/>
      </c>
      <c r="G15" s="25" t="inlineStr">
        <is>
          <t>Célula de Carga RBC #2 (Asa Direita)</t>
        </is>
      </c>
    </row>
    <row r="16" ht="20" customHeight="1">
      <c r="A16" s="22" t="inlineStr">
        <is>
          <t>Trem de Nariz (NLG)</t>
        </is>
      </c>
      <c r="B16" s="23" t="n">
        <v>568</v>
      </c>
      <c r="C16" s="24" t="n"/>
      <c r="D16" s="23" t="n">
        <v>45</v>
      </c>
      <c r="E16" s="24" t="n"/>
      <c r="F16" s="15">
        <f>B16-$C$8 | =C16*D16</f>
        <v/>
      </c>
      <c r="G16" s="25" t="inlineStr">
        <is>
          <t>Célula de Carga RBC #3 (Macaco de Nariz)</t>
        </is>
      </c>
    </row>
    <row r="17" ht="20" customHeight="1">
      <c r="A17" s="22" t="inlineStr">
        <is>
          <t>Acréscimo de Peso: Nova Pintura Poliuretano</t>
        </is>
      </c>
      <c r="B17" s="23" t="n">
        <v>42</v>
      </c>
      <c r="C17" s="23" t="n">
        <v>42</v>
      </c>
      <c r="D17" s="23" t="n">
        <v>140</v>
      </c>
      <c r="E17" s="24" t="n"/>
      <c r="F17" s="15">
        <f>C17*D17</f>
        <v/>
      </c>
      <c r="G17" s="25" t="inlineStr">
        <is>
          <t>Camada de tinta em fuselagem e empenagem</t>
        </is>
      </c>
    </row>
    <row r="18" ht="20" customHeight="1">
      <c r="A18" s="22" t="inlineStr">
        <is>
          <t>Acréscimo: Novo Radar Meteorológico de Nariz</t>
        </is>
      </c>
      <c r="B18" s="23" t="n">
        <v>18</v>
      </c>
      <c r="C18" s="23" t="n">
        <v>18</v>
      </c>
      <c r="D18" s="23" t="n">
        <v>25</v>
      </c>
      <c r="E18" s="24" t="n"/>
      <c r="F18" s="15">
        <f>C18*D18</f>
        <v/>
      </c>
      <c r="G18" s="25" t="inlineStr">
        <is>
          <t>Instalação no radome dianteiro</t>
        </is>
      </c>
    </row>
    <row r="19" ht="20" customHeight="1">
      <c r="A19" s="22" t="inlineStr">
        <is>
          <t>Combustível Inutilizável Residual (Dedução)</t>
        </is>
      </c>
      <c r="B19" s="23" t="n">
        <v>-24</v>
      </c>
      <c r="C19" s="23" t="n">
        <v>-24</v>
      </c>
      <c r="D19" s="23" t="n">
        <v>95</v>
      </c>
      <c r="E19" s="24" t="n"/>
      <c r="F19" s="15">
        <f>C19*D19</f>
        <v/>
      </c>
      <c r="G19" s="25" t="inlineStr">
        <is>
          <t>Drenagem obrigatória para pesagem em hangar</t>
        </is>
      </c>
    </row>
    <row r="20" ht="24" customHeight="1">
      <c r="A20" s="26" t="inlineStr">
        <is>
          <t>PESO BÁSICO VAZIO (BEW) &amp; MOMENTO VAZIO TOTAL DO BIMOTOR</t>
        </is>
      </c>
      <c r="C20" s="24" t="n"/>
      <c r="D20" s="27" t="inlineStr">
        <is>
          <t>—</t>
        </is>
      </c>
      <c r="E20" s="24" t="n"/>
      <c r="F20" s="28">
        <f>SOMA(C14:C19) e =SOMA(E14:E19)</f>
        <v/>
      </c>
      <c r="G20" s="27" t="inlineStr">
        <is>
          <t>Novo BEW Homologado</t>
        </is>
      </c>
    </row>
    <row r="21"/>
    <row r="22">
      <c r="A22" s="3" t="inlineStr">
        <is>
          <t>LAUDO TÉCNICO DE APROVAÇÃO DA ORDEM DE SERVIÇO (OS DE REVISÃO GERAL)</t>
        </is>
      </c>
    </row>
    <row r="23" ht="26" customHeight="1">
      <c r="A23" s="29" t="inlineStr">
        <is>
          <t>Questão Avaliativa da Ordem de Serviço</t>
        </is>
      </c>
      <c r="B23" s="29" t="inlineStr">
        <is>
          <t>Fórmula a ser Construída pelo Aluno</t>
        </is>
      </c>
      <c r="C23" s="29" t="inlineStr">
        <is>
          <t>Resultado Calculado</t>
        </is>
      </c>
      <c r="D23" s="29" t="inlineStr">
        <is>
          <t>Unidade</t>
        </is>
      </c>
      <c r="E23" s="29" t="inlineStr">
        <is>
          <t>Parâmetro Limite do AMM/TCDS</t>
        </is>
      </c>
      <c r="F23" s="29" t="inlineStr">
        <is>
          <t>Parecer Técnico de Liberação</t>
        </is>
      </c>
      <c r="G23" s="29" t="inlineStr">
        <is>
          <t>Conceito de Informática Aplicado</t>
        </is>
      </c>
    </row>
    <row r="24" ht="24" customHeight="1">
      <c r="A24" s="22" t="inlineStr">
        <is>
          <t>1. Centro de Gravidade Vazio Final (Novo EWCG)</t>
        </is>
      </c>
      <c r="B24" s="15">
        <f>E20/C20</f>
        <v/>
      </c>
      <c r="C24" s="30" t="n"/>
      <c r="D24" s="31" t="inlineStr">
        <is>
          <t>pol</t>
        </is>
      </c>
      <c r="E24" s="7" t="inlineStr">
        <is>
          <t>84,0 pol a 88,5 pol</t>
        </is>
      </c>
      <c r="F24" s="32" t="inlineStr">
        <is>
          <t>Aguardando cálculo...</t>
        </is>
      </c>
      <c r="G24" s="25" t="inlineStr">
        <is>
          <t>Fórmula Fundamental do EWCG</t>
        </is>
      </c>
    </row>
    <row r="25" ht="24" customHeight="1">
      <c r="A25" s="22" t="inlineStr">
        <is>
          <t>2. Nova Carga Útil Disponível (Useful Load)</t>
        </is>
      </c>
      <c r="B25" s="15">
        <f>$C$5-C20</f>
        <v/>
      </c>
      <c r="C25" s="24" t="n"/>
      <c r="D25" s="31" t="inlineStr">
        <is>
          <t>lb</t>
        </is>
      </c>
      <c r="E25" s="7" t="inlineStr">
        <is>
          <t>Capacidade para pilotos, pax e fuel</t>
        </is>
      </c>
      <c r="F25" s="32" t="inlineStr">
        <is>
          <t>Aguardando cálculo...</t>
        </is>
      </c>
      <c r="G25" s="25" t="inlineStr">
        <is>
          <t>Referência Absoluta ($C$5)</t>
        </is>
      </c>
    </row>
    <row r="26" ht="24" customHeight="1">
      <c r="A26" s="22" t="inlineStr">
        <is>
          <t>3. Peso Básico Vazio Convertido para o SI</t>
        </is>
      </c>
      <c r="B26" s="15">
        <f>C20*$C$9</f>
        <v/>
      </c>
      <c r="C26" s="30" t="n"/>
      <c r="D26" s="31" t="inlineStr">
        <is>
          <t>kg</t>
        </is>
      </c>
      <c r="E26" s="7" t="inlineStr">
        <is>
          <t>Registro obrigatório no diário de bordo</t>
        </is>
      </c>
      <c r="F26" s="32" t="inlineStr">
        <is>
          <t>Aguardando cálculo...</t>
        </is>
      </c>
      <c r="G26" s="25" t="inlineStr">
        <is>
          <t>Referência Absoluta ($C$9)</t>
        </is>
      </c>
    </row>
    <row r="27" ht="24" customHeight="1">
      <c r="A27" s="22" t="inlineStr">
        <is>
          <t>4. Posição do EWCG Convertida para o SI</t>
        </is>
      </c>
      <c r="B27" s="15">
        <f>C24*$C$10</f>
        <v/>
      </c>
      <c r="C27" s="40" t="n"/>
      <c r="D27" s="31" t="inlineStr">
        <is>
          <t>m</t>
        </is>
      </c>
      <c r="E27" s="7" t="inlineStr">
        <is>
          <t>Envelope Métrico: 2,1336 m a 2,2479 m</t>
        </is>
      </c>
      <c r="F27" s="32" t="inlineStr">
        <is>
          <t>Aguardando cálculo...</t>
        </is>
      </c>
      <c r="G27" s="25" t="inlineStr">
        <is>
          <t>Referência Absoluta ($C$10)</t>
        </is>
      </c>
    </row>
    <row r="28" ht="24" customHeight="1">
      <c r="A28" s="22" t="inlineStr">
        <is>
          <t>5. Utilização Estrutural do MTOW pelo Peso Vazio</t>
        </is>
      </c>
      <c r="B28" s="15">
        <f>C20/$C$5</f>
        <v/>
      </c>
      <c r="C28" s="33" t="n"/>
      <c r="D28" s="31" t="inlineStr">
        <is>
          <t>%</t>
        </is>
      </c>
      <c r="E28" s="7" t="inlineStr">
        <is>
          <t>Máximo 65,0% do MTOW para bimotor</t>
        </is>
      </c>
      <c r="F28" s="32" t="inlineStr">
        <is>
          <t>Aguardando cálculo...</t>
        </is>
      </c>
      <c r="G28" s="25" t="inlineStr">
        <is>
          <t>Referência Absoluta ($C$5)</t>
        </is>
      </c>
    </row>
    <row r="29" ht="24" customHeight="1">
      <c r="A29" s="22" t="inlineStr">
        <is>
          <t>6. Parecer Final do Responsável Técnico (RTS)</t>
        </is>
      </c>
      <c r="B29" s="15" t="inlineStr">
        <is>
          <t>Decisão Integrada</t>
        </is>
      </c>
      <c r="C29" s="34" t="n"/>
      <c r="D29" s="31" t="inlineStr">
        <is>
          <t>Decisão</t>
        </is>
      </c>
      <c r="E29" s="7" t="inlineStr">
        <is>
          <t>Aprovado em pesagem e tolerância</t>
        </is>
      </c>
      <c r="F29" s="32" t="inlineStr">
        <is>
          <t>Aguardando cálculo...</t>
        </is>
      </c>
      <c r="G29" s="25" t="inlineStr">
        <is>
          <t>Aeronavegabilidade Continuada</t>
        </is>
      </c>
    </row>
    <row r="30"/>
    <row r="31">
      <c r="A31" s="35" t="inlineStr">
        <is>
          <t>ROTEIRO TÉCNICO DE EXECUÇÃO DO EXERCÍCIO (OFICINA DE MANUTENÇÃO AERONÁUTICA):
• Tarefa 1 (Desconto com $): Na coluna C (linhas 14 a 16), desconte a tara calibrada dos macacos digitando =B14-$C$8 e arraste. As células adicionais de pintura e radar já são pesos líquidos.
• Tarefa 2 (Momentos): Na coluna E (linhas 14 a 19), calcule o Momento multiplicando Peso por Braço (=C14*D14).
• Tarefa 3 (Novo BEW e EWCG): Na linha 20, obtenha o Peso Vazio Total (=SOMA(C14:C19) = 3.557,0 lb) e o Momento Vazio Total (=SOMA(E14:E19) = 310.865,0 lb.pol). Na célula C24, calcule o novo EWCG (=E20/C20 = 87,39 pol).
• Tarefa 4 (Carga Útil com $): Na linha 25, calcule a nova Carga Útil travando o MTOW: =$C$5-C20 (resultando em 1.843,0 lb disponíveis para combustível e passageiros).
• Tarefa 5 (Conversão para o SI com $): Converta o novo peso para kg em C26 (=C20*$C$9 = 1.613,43 kg) e o EWCG para metros em C27 (=C24*$C$10 = 2,2198 m).
• Parecer Técnico: O EWCG (87,39 pol) está DENTRO da faixa permitida pelo TCDS (84,0 a 88,5 pol). A aeronave está formalmente APROVADA PARA RETORNO AO SERVIÇO (RTS)!</t>
        </is>
      </c>
    </row>
    <row r="32"/>
    <row r="33"/>
    <row r="34"/>
    <row r="35"/>
  </sheetData>
  <mergeCells count="17">
    <mergeCell ref="A20:B20"/>
    <mergeCell ref="A4:E4"/>
    <mergeCell ref="A1:G1"/>
    <mergeCell ref="A31:G35"/>
    <mergeCell ref="A7:B7"/>
    <mergeCell ref="F10:G10"/>
    <mergeCell ref="F5:G5"/>
    <mergeCell ref="A10:B10"/>
    <mergeCell ref="A5:B5"/>
    <mergeCell ref="A2:G2"/>
    <mergeCell ref="F6:G6"/>
    <mergeCell ref="A9:B9"/>
    <mergeCell ref="A8:B8"/>
    <mergeCell ref="A6:B6"/>
    <mergeCell ref="F9:G9"/>
    <mergeCell ref="F7:G7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2026-09-25T04:05:00Z</dcterms:created>
  <dcterms:modified xmlns:dcterms="http://purl.org/dc/terms/" xmlns:xsi="http://www.w3.org/2001/XMLSchema-instance" xsi:type="dcterms:W3CDTF">2026-09-25T04:05:00Z</dcterms:modified>
</cp:coreProperties>
</file>