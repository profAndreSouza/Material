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Material\Informática Aplicada a Aeronáutica\Exercicios\"/>
    </mc:Choice>
  </mc:AlternateContent>
  <xr:revisionPtr revIDLastSave="0" documentId="13_ncr:1_{145F8B31-6021-4F2D-B351-B6CAD8F52D33}" xr6:coauthVersionLast="47" xr6:coauthVersionMax="47" xr10:uidLastSave="{00000000-0000-0000-0000-000000000000}"/>
  <bookViews>
    <workbookView xWindow="-120" yWindow="-120" windowWidth="29040" windowHeight="15840" tabRatio="749" activeTab="3" xr2:uid="{BE42F15C-3A81-45AA-A7D6-D8354F868CCD}"/>
  </bookViews>
  <sheets>
    <sheet name="Ativ1_Estrutura_Hangar" sheetId="1" r:id="rId1"/>
    <sheet name="Ativ2_Precedencia_ISA" sheetId="2" r:id="rId2"/>
    <sheet name="Ativ3_Media_vs_Mediana_OS" sheetId="3" r:id="rId3"/>
    <sheet name="Ativ4_Exercic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3" l="1"/>
  <c r="F12" i="3"/>
  <c r="F13" i="3"/>
  <c r="E11" i="3"/>
  <c r="E12" i="3"/>
  <c r="E13" i="3"/>
  <c r="E13" i="2"/>
  <c r="D5" i="2"/>
  <c r="D6" i="2"/>
  <c r="E14" i="2"/>
  <c r="E15" i="2"/>
  <c r="E16" i="2"/>
  <c r="D7" i="2"/>
  <c r="D8" i="2"/>
  <c r="I9" i="1"/>
  <c r="H9" i="1"/>
  <c r="G9" i="1"/>
  <c r="I4" i="1"/>
  <c r="I8" i="1"/>
  <c r="I5" i="1"/>
  <c r="I6" i="1"/>
  <c r="I7" i="1"/>
  <c r="H4" i="1"/>
  <c r="H5" i="1"/>
  <c r="H6" i="1"/>
  <c r="H7" i="1"/>
  <c r="H8" i="1"/>
  <c r="G4" i="1"/>
  <c r="G5" i="1"/>
  <c r="G6" i="1"/>
  <c r="G7" i="1"/>
  <c r="G8" i="1"/>
</calcChain>
</file>

<file path=xl/sharedStrings.xml><?xml version="1.0" encoding="utf-8"?>
<sst xmlns="http://schemas.openxmlformats.org/spreadsheetml/2006/main" count="101" uniqueCount="96">
  <si>
    <t>AEROCLUBE DE SOROCABA — CONTROLE DE HANGARAGEM E ABASTECIMENTO</t>
  </si>
  <si>
    <t>Prefixo</t>
  </si>
  <si>
    <t>Modelo da Aeronave</t>
  </si>
  <si>
    <t>Diárias Hangar</t>
  </si>
  <si>
    <t>Valor da Diária (R$)</t>
  </si>
  <si>
    <t>Litros Abastecidos (L)</t>
  </si>
  <si>
    <t>Preço por Litro (R$)</t>
  </si>
  <si>
    <t>Subtotal Hangar (R$)</t>
  </si>
  <si>
    <t>Subtotal Combustível (R$)</t>
  </si>
  <si>
    <t>Custo Total (R$)</t>
  </si>
  <si>
    <t>PR-ABC</t>
  </si>
  <si>
    <t>Cessna 172</t>
  </si>
  <si>
    <t>PT-KRT</t>
  </si>
  <si>
    <t>Piper Seneca</t>
  </si>
  <si>
    <t>PR-FTE</t>
  </si>
  <si>
    <t>Beech Baron</t>
  </si>
  <si>
    <t>PP-ZUL</t>
  </si>
  <si>
    <t>Cirrus SR22</t>
  </si>
  <si>
    <t>PR-MNT</t>
  </si>
  <si>
    <t>Cessna 152</t>
  </si>
  <si>
    <t>TOTAL GERAL</t>
  </si>
  <si>
    <t>FÓRMULAS CONSTRUÍDAS NESTA ETAPA:</t>
  </si>
  <si>
    <t>Subtotal Hangar (G4): =C4*D4  (Diárias × Valor da Diária)</t>
  </si>
  <si>
    <t>Subtotal Combustível (H4): =E4*F4  (Litros × Preço por Litro)</t>
  </si>
  <si>
    <t>Custo Total (I4): =G4+H4  (Subtotal Hangar + Subtotal Combustível)</t>
  </si>
  <si>
    <t>Linha 9 consolidada com a função =SOMA() em G9, H9 e I9.</t>
  </si>
  <si>
    <t>LABORATÓRIO DE CÁLCULO: PRECEDÊNCIA MATEMÁTICA, OPERADORES ^ E - EM FÍSICA AERONÁUTICA</t>
  </si>
  <si>
    <t>1. Cálculo de Pressão Dinâmica Aerodinâmica: q = 0.5 * ρ * V²</t>
  </si>
  <si>
    <t>Aeronave</t>
  </si>
  <si>
    <t>Densidade do Ar ρ (kg/m³)</t>
  </si>
  <si>
    <t>Velocidade V (m/s)</t>
  </si>
  <si>
    <t>Pressão Dinâmica q (Pa)</t>
  </si>
  <si>
    <t>Cessna 152 (Cruzeiro)</t>
  </si>
  <si>
    <t>Cessna 172 (Cruzeiro)</t>
  </si>
  <si>
    <t>Cirrus SR22 (Cruzeiro)</t>
  </si>
  <si>
    <t>Embraer E195-E2 (Cruzeiro FL350)</t>
  </si>
  <si>
    <t>2. Gradiente Térmico na Atmosfera Padrão (ISA): T = T₀ - (0,0065 * h)</t>
  </si>
  <si>
    <t>Temperatura ao Nível do Mar T₀ (°C)</t>
  </si>
  <si>
    <t>Gradiente (°C/m)</t>
  </si>
  <si>
    <t>Temperatura Estimada ISA (°C)</t>
  </si>
  <si>
    <t>Nível do Mar</t>
  </si>
  <si>
    <t>Tráfego</t>
  </si>
  <si>
    <t>Navegação</t>
  </si>
  <si>
    <t>Tropopausa</t>
  </si>
  <si>
    <t>Nível de Voo</t>
  </si>
  <si>
    <t>Altitude (m)</t>
  </si>
  <si>
    <t>ESTATÍSTICA DESCRITIVA NO HANGAR: DIFERENÇA ENTRE MÉDIA E MEDIANA DIANTE DE OUTLIERS</t>
  </si>
  <si>
    <t>Relatório Semanal de Ordens de Serviço (OS) de Manutenção no Hangar</t>
  </si>
  <si>
    <t>Nº da OS</t>
  </si>
  <si>
    <t>Tipo de Manutenção</t>
  </si>
  <si>
    <t>Categoria</t>
  </si>
  <si>
    <t>Tempo de Box (Horas)</t>
  </si>
  <si>
    <t>OS-101</t>
  </si>
  <si>
    <t>Cessna 152 (PR-MNT)</t>
  </si>
  <si>
    <t>Troca de Óleo e Filtros</t>
  </si>
  <si>
    <t>Preventiva</t>
  </si>
  <si>
    <t>OS-102</t>
  </si>
  <si>
    <t>Cessna 172 (PR-ABC)</t>
  </si>
  <si>
    <t>Inspeção Periódica 50h</t>
  </si>
  <si>
    <t>OS-103</t>
  </si>
  <si>
    <t>Piper Cherokee (PT-VLM)</t>
  </si>
  <si>
    <t>Revisão de Magnetos e Velas</t>
  </si>
  <si>
    <t>OS-104</t>
  </si>
  <si>
    <t>Cirrus SR22 (PP-ZUL)</t>
  </si>
  <si>
    <t>Atualização e Calibração Aviônica</t>
  </si>
  <si>
    <t>Eletrônica</t>
  </si>
  <si>
    <t>OS-105</t>
  </si>
  <si>
    <t>Beech Baron (PR-FTE)</t>
  </si>
  <si>
    <t>Alinhamento e Balanceamento de Hélice</t>
  </si>
  <si>
    <t>OS-106</t>
  </si>
  <si>
    <t>King Air C90 (PT-EXP)</t>
  </si>
  <si>
    <t>Overhaul Completo de Turbina PT6A (OUTLIER)</t>
  </si>
  <si>
    <t>Corretiva Pesada</t>
  </si>
  <si>
    <t>TOTAL GERAL DAS ORDENS DE SERVIÇO</t>
  </si>
  <si>
    <t>MÉDIA ARITMÉTICA (=MÉDIA) — Sensível a Outliers</t>
  </si>
  <si>
    <t>MEDIANA (=MED) — Robusta / Representa o Serviço Típico</t>
  </si>
  <si>
    <t>PROGRAMA DE INSTRUÇÃO DE VOO — CONTROLE DE CONSUMO DE COMBUSTÍVEL</t>
  </si>
  <si>
    <t>Piloto Aluno</t>
  </si>
  <si>
    <t>Horas de Voo (h)</t>
  </si>
  <si>
    <t>Consumo por Hora (L/h)</t>
  </si>
  <si>
    <t>Consumo Total de Combustível (L)</t>
  </si>
  <si>
    <t>Lucas Silveira</t>
  </si>
  <si>
    <t>Mariana Duarte</t>
  </si>
  <si>
    <t>Carlos Eduardo</t>
  </si>
  <si>
    <t>Beatriz Ramos</t>
  </si>
  <si>
    <t>Rodrigo Nogueira</t>
  </si>
  <si>
    <t>Gabriel Souza</t>
  </si>
  <si>
    <t>TOTAL DE COMBUSTÍVEL CONSUMIDO</t>
  </si>
  <si>
    <t>-</t>
  </si>
  <si>
    <t>MÉDIA POR ALUNO</t>
  </si>
  <si>
    <t>MEDIANA POR ALUNO</t>
  </si>
  <si>
    <t>FÓRMULAS DO EXERCÍCIO DE FIXAÇÃO:</t>
  </si>
  <si>
    <t>Consumo Total por Aluno (D4): =B4*C4 (Horas de Voo × Consumo Médio por Hora)</t>
  </si>
  <si>
    <t>Total Geral de Horas e Litros (B10 e D10): =SOMA(B4:B9) e =SOMA(D4:D9)</t>
  </si>
  <si>
    <t>Médias Operacionais (B11, C11 e D11): =MÉDIA(B4:B9), =MÉDIA(C4:C9) e =MÉDIA(D4:D9)</t>
  </si>
  <si>
    <t>Medianas Centrais (B12, C12 e D12): =MED(B4:B9), =MED(C4:C9) e =MED(D4:D9)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</si>
</sst>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6" formatCode="0.0\ &quot;Pa&quot;"/>
    <numFmt numFmtId="168" formatCode="0\ &quot;°C&quot;"/>
    <numFmt numFmtId="169" formatCode="0\ &quot;m&quot;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0" fontId="0" fillId="0" borderId="0" xfId="0"/>
    <xf numFmtId="0" fontId="0" fillId="0" borderId="8" xfId="0" applyBorder="1"/>
    <xf numFmtId="0" fontId="0" fillId="3" borderId="12" xfId="0" applyFill="1" applyBorder="1" applyAlignment="1"/>
    <xf numFmtId="0" fontId="0" fillId="3" borderId="13" xfId="0" applyFill="1" applyBorder="1" applyAlignment="1"/>
    <xf numFmtId="0" fontId="0" fillId="3" borderId="14" xfId="0" applyFill="1" applyBorder="1" applyAlignment="1"/>
    <xf numFmtId="0" fontId="0" fillId="3" borderId="1" xfId="0" applyFill="1" applyBorder="1"/>
    <xf numFmtId="0" fontId="0" fillId="3" borderId="1" xfId="0" applyFill="1" applyBorder="1" applyAlignment="1"/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44" fontId="0" fillId="0" borderId="1" xfId="1" applyFont="1" applyBorder="1"/>
    <xf numFmtId="0" fontId="4" fillId="0" borderId="0" xfId="0" applyFont="1"/>
    <xf numFmtId="0" fontId="0" fillId="0" borderId="0" xfId="0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6" fontId="0" fillId="0" borderId="1" xfId="0" applyNumberFormat="1" applyBorder="1" applyAlignment="1"/>
    <xf numFmtId="168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44" fontId="0" fillId="0" borderId="1" xfId="0" quotePrefix="1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EAB0-5689-41DE-8D26-C3D7636C130F}">
  <dimension ref="A1:I15"/>
  <sheetViews>
    <sheetView showGridLines="0" zoomScale="175" zoomScaleNormal="175" workbookViewId="0">
      <selection activeCell="D5" sqref="D5"/>
    </sheetView>
  </sheetViews>
  <sheetFormatPr defaultRowHeight="15" x14ac:dyDescent="0.25"/>
  <cols>
    <col min="1" max="1" width="13.7109375" customWidth="1"/>
    <col min="2" max="2" width="19.140625" bestFit="1" customWidth="1"/>
    <col min="3" max="7" width="14.28515625" customWidth="1"/>
    <col min="8" max="8" width="17.140625" customWidth="1"/>
    <col min="9" max="9" width="14.28515625" customWidth="1"/>
  </cols>
  <sheetData>
    <row r="1" spans="1:9" ht="18.75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3" spans="1:9" ht="33.7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x14ac:dyDescent="0.25">
      <c r="A4" s="1" t="s">
        <v>10</v>
      </c>
      <c r="B4" s="1" t="s">
        <v>11</v>
      </c>
      <c r="C4" s="5">
        <v>4</v>
      </c>
      <c r="D4" s="10">
        <v>150</v>
      </c>
      <c r="E4" s="5">
        <v>120</v>
      </c>
      <c r="F4" s="8">
        <v>11.5</v>
      </c>
      <c r="G4" s="8">
        <f>C4*D4</f>
        <v>600</v>
      </c>
      <c r="H4" s="8">
        <f>E4*F4</f>
        <v>1380</v>
      </c>
      <c r="I4" s="8">
        <f>G4+H4</f>
        <v>1980</v>
      </c>
    </row>
    <row r="5" spans="1:9" x14ac:dyDescent="0.25">
      <c r="A5" s="1" t="s">
        <v>12</v>
      </c>
      <c r="B5" s="1" t="s">
        <v>13</v>
      </c>
      <c r="C5" s="5">
        <v>10</v>
      </c>
      <c r="D5" s="10">
        <v>280</v>
      </c>
      <c r="E5" s="5">
        <v>350</v>
      </c>
      <c r="F5" s="8">
        <v>11.5</v>
      </c>
      <c r="G5" s="8">
        <f t="shared" ref="G5:G8" si="0">C5*D5</f>
        <v>2800</v>
      </c>
      <c r="H5" s="8">
        <f t="shared" ref="H5:H8" si="1">E5*F5</f>
        <v>4025</v>
      </c>
      <c r="I5" s="8">
        <f t="shared" ref="I5:I8" si="2">G5+H5</f>
        <v>6825</v>
      </c>
    </row>
    <row r="6" spans="1:9" x14ac:dyDescent="0.25">
      <c r="A6" s="1" t="s">
        <v>14</v>
      </c>
      <c r="B6" s="1" t="s">
        <v>15</v>
      </c>
      <c r="C6" s="5">
        <v>7</v>
      </c>
      <c r="D6" s="10">
        <v>320</v>
      </c>
      <c r="E6" s="5">
        <v>280</v>
      </c>
      <c r="F6" s="8">
        <v>11.5</v>
      </c>
      <c r="G6" s="8">
        <f t="shared" si="0"/>
        <v>2240</v>
      </c>
      <c r="H6" s="8">
        <f t="shared" si="1"/>
        <v>3220</v>
      </c>
      <c r="I6" s="8">
        <f t="shared" si="2"/>
        <v>5460</v>
      </c>
    </row>
    <row r="7" spans="1:9" x14ac:dyDescent="0.25">
      <c r="A7" s="1" t="s">
        <v>16</v>
      </c>
      <c r="B7" s="1" t="s">
        <v>17</v>
      </c>
      <c r="C7" s="5">
        <v>3</v>
      </c>
      <c r="D7" s="10">
        <v>220</v>
      </c>
      <c r="E7" s="5">
        <v>160</v>
      </c>
      <c r="F7" s="8">
        <v>11.5</v>
      </c>
      <c r="G7" s="8">
        <f t="shared" si="0"/>
        <v>660</v>
      </c>
      <c r="H7" s="8">
        <f t="shared" si="1"/>
        <v>1840</v>
      </c>
      <c r="I7" s="8">
        <f t="shared" si="2"/>
        <v>2500</v>
      </c>
    </row>
    <row r="8" spans="1:9" ht="15.75" thickBot="1" x14ac:dyDescent="0.3">
      <c r="A8" s="3" t="s">
        <v>18</v>
      </c>
      <c r="B8" s="3" t="s">
        <v>19</v>
      </c>
      <c r="C8" s="6">
        <v>15</v>
      </c>
      <c r="D8" s="11">
        <v>120</v>
      </c>
      <c r="E8" s="6">
        <v>90</v>
      </c>
      <c r="F8" s="9">
        <v>11.5</v>
      </c>
      <c r="G8" s="9">
        <f t="shared" si="0"/>
        <v>1800</v>
      </c>
      <c r="H8" s="9">
        <f t="shared" si="1"/>
        <v>1035</v>
      </c>
      <c r="I8" s="9">
        <f t="shared" si="2"/>
        <v>2835</v>
      </c>
    </row>
    <row r="9" spans="1:9" ht="15.75" thickTop="1" x14ac:dyDescent="0.25">
      <c r="A9" s="2" t="s">
        <v>20</v>
      </c>
      <c r="B9" s="2"/>
      <c r="C9" s="7"/>
      <c r="D9" s="7"/>
      <c r="E9" s="7"/>
      <c r="F9" s="7"/>
      <c r="G9" s="12">
        <f>SUM(G4:G8)</f>
        <v>8100</v>
      </c>
      <c r="H9" s="12">
        <f t="shared" ref="H9" si="3">SUM(H4:H8)</f>
        <v>11500</v>
      </c>
      <c r="I9" s="12">
        <f>SUM(I4:I8)</f>
        <v>19600</v>
      </c>
    </row>
    <row r="11" spans="1:9" x14ac:dyDescent="0.25">
      <c r="A11" s="17" t="s">
        <v>21</v>
      </c>
      <c r="B11" s="18"/>
      <c r="C11" s="18"/>
      <c r="D11" s="18"/>
      <c r="E11" s="18"/>
      <c r="F11" s="18"/>
      <c r="G11" s="18"/>
      <c r="H11" s="18"/>
      <c r="I11" s="19"/>
    </row>
    <row r="12" spans="1:9" x14ac:dyDescent="0.25">
      <c r="A12" s="20" t="s">
        <v>22</v>
      </c>
      <c r="B12" s="21"/>
      <c r="C12" s="21"/>
      <c r="D12" s="21"/>
      <c r="E12" s="21"/>
      <c r="F12" s="21"/>
      <c r="G12" s="21"/>
      <c r="H12" s="21"/>
      <c r="I12" s="22"/>
    </row>
    <row r="13" spans="1:9" x14ac:dyDescent="0.25">
      <c r="A13" s="20" t="s">
        <v>23</v>
      </c>
      <c r="B13" s="21"/>
      <c r="C13" s="21"/>
      <c r="D13" s="21"/>
      <c r="E13" s="21"/>
      <c r="F13" s="21"/>
      <c r="G13" s="21"/>
      <c r="H13" s="21"/>
      <c r="I13" s="22"/>
    </row>
    <row r="14" spans="1:9" x14ac:dyDescent="0.25">
      <c r="A14" s="20" t="s">
        <v>24</v>
      </c>
      <c r="B14" s="21"/>
      <c r="C14" s="21"/>
      <c r="D14" s="21"/>
      <c r="E14" s="21"/>
      <c r="F14" s="21"/>
      <c r="G14" s="21"/>
      <c r="H14" s="21"/>
      <c r="I14" s="22"/>
    </row>
    <row r="15" spans="1:9" x14ac:dyDescent="0.25">
      <c r="A15" s="13" t="s">
        <v>25</v>
      </c>
      <c r="B15" s="14"/>
      <c r="C15" s="14"/>
      <c r="D15" s="14"/>
      <c r="E15" s="14"/>
      <c r="F15" s="14"/>
      <c r="G15" s="14"/>
      <c r="H15" s="14"/>
      <c r="I15" s="15"/>
    </row>
  </sheetData>
  <mergeCells count="6">
    <mergeCell ref="A15:I15"/>
    <mergeCell ref="A1:I1"/>
    <mergeCell ref="A11:I11"/>
    <mergeCell ref="A12:I12"/>
    <mergeCell ref="A13:I13"/>
    <mergeCell ref="A14:I14"/>
  </mergeCells>
  <pageMargins left="0.511811024" right="0.511811024" top="0.78740157499999996" bottom="0.78740157499999996" header="0.31496062000000002" footer="0.31496062000000002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F36D-EC84-4727-816F-2A99A4E0D73D}">
  <dimension ref="A1:E16"/>
  <sheetViews>
    <sheetView topLeftCell="A6" zoomScale="250" zoomScaleNormal="250" workbookViewId="0">
      <selection activeCell="B13" sqref="B13:E16"/>
    </sheetView>
  </sheetViews>
  <sheetFormatPr defaultRowHeight="15" x14ac:dyDescent="0.25"/>
  <cols>
    <col min="1" max="1" width="30.85546875" bestFit="1" customWidth="1"/>
    <col min="2" max="2" width="24.42578125" bestFit="1" customWidth="1"/>
    <col min="3" max="3" width="14.140625" customWidth="1"/>
    <col min="4" max="4" width="23.28515625" bestFit="1" customWidth="1"/>
    <col min="5" max="5" width="28.42578125" bestFit="1" customWidth="1"/>
  </cols>
  <sheetData>
    <row r="1" spans="1:5" ht="21" x14ac:dyDescent="0.35">
      <c r="A1" s="28" t="s">
        <v>26</v>
      </c>
      <c r="B1" s="28"/>
      <c r="C1" s="28"/>
      <c r="D1" s="28"/>
      <c r="E1" s="28"/>
    </row>
    <row r="3" spans="1:5" x14ac:dyDescent="0.25">
      <c r="A3" s="23" t="s">
        <v>27</v>
      </c>
      <c r="B3" s="24"/>
      <c r="C3" s="24"/>
      <c r="D3" s="25"/>
    </row>
    <row r="4" spans="1:5" x14ac:dyDescent="0.25">
      <c r="A4" s="26" t="s">
        <v>28</v>
      </c>
      <c r="B4" s="37" t="s">
        <v>29</v>
      </c>
      <c r="C4" s="37" t="s">
        <v>30</v>
      </c>
      <c r="D4" s="37" t="s">
        <v>31</v>
      </c>
    </row>
    <row r="5" spans="1:5" x14ac:dyDescent="0.25">
      <c r="A5" s="1" t="s">
        <v>32</v>
      </c>
      <c r="B5" s="5">
        <v>1.2250000000000001</v>
      </c>
      <c r="C5" s="5">
        <v>51.4</v>
      </c>
      <c r="D5" s="38">
        <f>0.5*B5*C5^2</f>
        <v>1618.2005000000001</v>
      </c>
    </row>
    <row r="6" spans="1:5" x14ac:dyDescent="0.25">
      <c r="A6" s="1" t="s">
        <v>33</v>
      </c>
      <c r="B6" s="5">
        <v>1.2250000000000001</v>
      </c>
      <c r="C6" s="5">
        <v>61.7</v>
      </c>
      <c r="D6" s="38">
        <f>0.5*B6*C6^2</f>
        <v>2331.7201250000003</v>
      </c>
    </row>
    <row r="7" spans="1:5" x14ac:dyDescent="0.25">
      <c r="A7" s="1" t="s">
        <v>34</v>
      </c>
      <c r="B7" s="5">
        <v>1.1000000000000001</v>
      </c>
      <c r="C7" s="5">
        <v>92.6</v>
      </c>
      <c r="D7" s="38">
        <f t="shared" ref="D6:D8" si="0">0.5*B7*C7^2</f>
        <v>4716.1179999999995</v>
      </c>
    </row>
    <row r="8" spans="1:5" x14ac:dyDescent="0.25">
      <c r="A8" s="1" t="s">
        <v>35</v>
      </c>
      <c r="B8" s="5">
        <v>0.38</v>
      </c>
      <c r="C8" s="5">
        <v>240</v>
      </c>
      <c r="D8" s="38">
        <f t="shared" si="0"/>
        <v>10944</v>
      </c>
    </row>
    <row r="11" spans="1:5" x14ac:dyDescent="0.25">
      <c r="A11" s="27" t="s">
        <v>36</v>
      </c>
      <c r="B11" s="27"/>
      <c r="C11" s="27"/>
      <c r="D11" s="27"/>
      <c r="E11" s="27"/>
    </row>
    <row r="12" spans="1:5" x14ac:dyDescent="0.25">
      <c r="A12" s="26" t="s">
        <v>44</v>
      </c>
      <c r="B12" s="26" t="s">
        <v>45</v>
      </c>
      <c r="C12" s="26" t="s">
        <v>37</v>
      </c>
      <c r="D12" s="26" t="s">
        <v>38</v>
      </c>
      <c r="E12" s="26" t="s">
        <v>39</v>
      </c>
    </row>
    <row r="13" spans="1:5" x14ac:dyDescent="0.25">
      <c r="A13" s="1" t="s">
        <v>40</v>
      </c>
      <c r="B13" s="40">
        <v>0</v>
      </c>
      <c r="C13" s="5">
        <v>15</v>
      </c>
      <c r="D13" s="5">
        <v>6.4999999999999997E-3</v>
      </c>
      <c r="E13" s="39">
        <f>C13-D13*B13</f>
        <v>15</v>
      </c>
    </row>
    <row r="14" spans="1:5" x14ac:dyDescent="0.25">
      <c r="A14" s="1" t="s">
        <v>41</v>
      </c>
      <c r="B14" s="40">
        <v>1000</v>
      </c>
      <c r="C14" s="5">
        <v>15</v>
      </c>
      <c r="D14" s="5">
        <v>6.4999999999999997E-3</v>
      </c>
      <c r="E14" s="39">
        <f t="shared" ref="E14:E16" si="1">C14-D14*B14</f>
        <v>8.5</v>
      </c>
    </row>
    <row r="15" spans="1:5" x14ac:dyDescent="0.25">
      <c r="A15" s="1" t="s">
        <v>42</v>
      </c>
      <c r="B15" s="40">
        <v>3000</v>
      </c>
      <c r="C15" s="5">
        <v>15</v>
      </c>
      <c r="D15" s="5">
        <v>6.4999999999999997E-3</v>
      </c>
      <c r="E15" s="39">
        <f t="shared" si="1"/>
        <v>-4.5</v>
      </c>
    </row>
    <row r="16" spans="1:5" x14ac:dyDescent="0.25">
      <c r="A16" s="1" t="s">
        <v>43</v>
      </c>
      <c r="B16" s="40">
        <v>11000</v>
      </c>
      <c r="C16" s="5">
        <v>15</v>
      </c>
      <c r="D16" s="5">
        <v>6.4999999999999997E-3</v>
      </c>
      <c r="E16" s="39">
        <f t="shared" si="1"/>
        <v>-56.5</v>
      </c>
    </row>
  </sheetData>
  <mergeCells count="3">
    <mergeCell ref="A1:E1"/>
    <mergeCell ref="A3:D3"/>
    <mergeCell ref="A11:E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63EF-6334-4117-8E0D-C20BBCDC794A}">
  <dimension ref="A1:F13"/>
  <sheetViews>
    <sheetView zoomScale="280" zoomScaleNormal="280" workbookViewId="0">
      <selection activeCell="E12" sqref="E12"/>
    </sheetView>
  </sheetViews>
  <sheetFormatPr defaultRowHeight="15" x14ac:dyDescent="0.25"/>
  <cols>
    <col min="1" max="1" width="8.85546875" bestFit="1" customWidth="1"/>
    <col min="2" max="2" width="22.85546875" bestFit="1" customWidth="1"/>
    <col min="3" max="3" width="42.7109375" bestFit="1" customWidth="1"/>
    <col min="4" max="4" width="17.5703125" customWidth="1"/>
    <col min="5" max="5" width="17.140625" customWidth="1"/>
    <col min="6" max="6" width="20.5703125" bestFit="1" customWidth="1"/>
  </cols>
  <sheetData>
    <row r="1" spans="1:6" ht="21" x14ac:dyDescent="0.35">
      <c r="A1" s="29" t="s">
        <v>46</v>
      </c>
      <c r="B1" s="29"/>
      <c r="C1" s="29"/>
      <c r="D1" s="29"/>
      <c r="E1" s="29"/>
      <c r="F1" s="29"/>
    </row>
    <row r="3" spans="1:6" x14ac:dyDescent="0.25">
      <c r="A3" s="30" t="s">
        <v>47</v>
      </c>
      <c r="B3" s="30"/>
      <c r="C3" s="30"/>
      <c r="D3" s="30"/>
      <c r="E3" s="30"/>
      <c r="F3" s="30"/>
    </row>
    <row r="4" spans="1:6" x14ac:dyDescent="0.25">
      <c r="A4" s="31" t="s">
        <v>48</v>
      </c>
      <c r="B4" s="31" t="s">
        <v>28</v>
      </c>
      <c r="C4" s="31" t="s">
        <v>49</v>
      </c>
      <c r="D4" s="31" t="s">
        <v>50</v>
      </c>
      <c r="E4" s="31" t="s">
        <v>9</v>
      </c>
      <c r="F4" s="31" t="s">
        <v>51</v>
      </c>
    </row>
    <row r="5" spans="1:6" x14ac:dyDescent="0.25">
      <c r="A5" s="1" t="s">
        <v>52</v>
      </c>
      <c r="B5" s="1" t="s">
        <v>53</v>
      </c>
      <c r="C5" s="1" t="s">
        <v>54</v>
      </c>
      <c r="D5" s="1" t="s">
        <v>55</v>
      </c>
      <c r="E5" s="33">
        <v>1200</v>
      </c>
      <c r="F5" s="1">
        <v>4</v>
      </c>
    </row>
    <row r="6" spans="1:6" x14ac:dyDescent="0.25">
      <c r="A6" s="1" t="s">
        <v>56</v>
      </c>
      <c r="B6" s="1" t="s">
        <v>57</v>
      </c>
      <c r="C6" s="1" t="s">
        <v>58</v>
      </c>
      <c r="D6" s="1" t="s">
        <v>55</v>
      </c>
      <c r="E6" s="33">
        <v>1500</v>
      </c>
      <c r="F6" s="1">
        <v>6</v>
      </c>
    </row>
    <row r="7" spans="1:6" x14ac:dyDescent="0.25">
      <c r="A7" s="1" t="s">
        <v>59</v>
      </c>
      <c r="B7" s="1" t="s">
        <v>60</v>
      </c>
      <c r="C7" s="1" t="s">
        <v>61</v>
      </c>
      <c r="D7" s="1" t="s">
        <v>55</v>
      </c>
      <c r="E7" s="33">
        <v>1800</v>
      </c>
      <c r="F7" s="1">
        <v>8</v>
      </c>
    </row>
    <row r="8" spans="1:6" x14ac:dyDescent="0.25">
      <c r="A8" s="1" t="s">
        <v>62</v>
      </c>
      <c r="B8" s="1" t="s">
        <v>63</v>
      </c>
      <c r="C8" s="1" t="s">
        <v>64</v>
      </c>
      <c r="D8" s="1" t="s">
        <v>65</v>
      </c>
      <c r="E8" s="33">
        <v>2000</v>
      </c>
      <c r="F8" s="1">
        <v>5</v>
      </c>
    </row>
    <row r="9" spans="1:6" x14ac:dyDescent="0.25">
      <c r="A9" s="1" t="s">
        <v>66</v>
      </c>
      <c r="B9" s="1" t="s">
        <v>67</v>
      </c>
      <c r="C9" s="1" t="s">
        <v>68</v>
      </c>
      <c r="D9" s="1" t="s">
        <v>55</v>
      </c>
      <c r="E9" s="33">
        <v>2500</v>
      </c>
      <c r="F9" s="1">
        <v>10</v>
      </c>
    </row>
    <row r="10" spans="1:6" x14ac:dyDescent="0.25">
      <c r="A10" s="1" t="s">
        <v>69</v>
      </c>
      <c r="B10" s="1" t="s">
        <v>70</v>
      </c>
      <c r="C10" s="1" t="s">
        <v>71</v>
      </c>
      <c r="D10" s="1" t="s">
        <v>72</v>
      </c>
      <c r="E10" s="33">
        <v>120000</v>
      </c>
      <c r="F10" s="1">
        <v>120</v>
      </c>
    </row>
    <row r="11" spans="1:6" x14ac:dyDescent="0.25">
      <c r="A11" s="32" t="s">
        <v>73</v>
      </c>
      <c r="B11" s="32"/>
      <c r="C11" s="32"/>
      <c r="D11" s="32"/>
      <c r="E11" s="41">
        <f>SUM(E5:E10)</f>
        <v>129000</v>
      </c>
      <c r="F11" s="1">
        <f>SUM(F5:F10)</f>
        <v>153</v>
      </c>
    </row>
    <row r="12" spans="1:6" x14ac:dyDescent="0.25">
      <c r="A12" s="32" t="s">
        <v>74</v>
      </c>
      <c r="B12" s="32"/>
      <c r="C12" s="32"/>
      <c r="D12" s="32"/>
      <c r="E12" s="41">
        <f>AVERAGE(E5:E10)</f>
        <v>21500</v>
      </c>
      <c r="F12" s="1">
        <f>AVERAGE(F5:F10)</f>
        <v>25.5</v>
      </c>
    </row>
    <row r="13" spans="1:6" x14ac:dyDescent="0.25">
      <c r="A13" s="32" t="s">
        <v>75</v>
      </c>
      <c r="B13" s="32"/>
      <c r="C13" s="32"/>
      <c r="D13" s="32"/>
      <c r="E13" s="41">
        <f>MEDIAN(E5:E10)</f>
        <v>1900</v>
      </c>
      <c r="F13" s="1">
        <f>MEDIAN(F5:F10)</f>
        <v>7</v>
      </c>
    </row>
  </sheetData>
  <mergeCells count="5">
    <mergeCell ref="A1:F1"/>
    <mergeCell ref="A11:D11"/>
    <mergeCell ref="A12:D12"/>
    <mergeCell ref="A13:D13"/>
    <mergeCell ref="A3:F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BE8A-C04D-4FF4-85E5-16AD1410D6FC}">
  <dimension ref="A1:D18"/>
  <sheetViews>
    <sheetView tabSelected="1" zoomScale="145" zoomScaleNormal="145" workbookViewId="0">
      <selection activeCell="D10" sqref="D10"/>
    </sheetView>
  </sheetViews>
  <sheetFormatPr defaultRowHeight="15" x14ac:dyDescent="0.25"/>
  <cols>
    <col min="1" max="1" width="34.85546875" customWidth="1"/>
    <col min="2" max="2" width="15.85546875" bestFit="1" customWidth="1"/>
    <col min="3" max="3" width="22.5703125" bestFit="1" customWidth="1"/>
    <col min="4" max="4" width="31.5703125" bestFit="1" customWidth="1"/>
  </cols>
  <sheetData>
    <row r="1" spans="1:4" ht="21" x14ac:dyDescent="0.35">
      <c r="A1" s="34" t="s">
        <v>76</v>
      </c>
      <c r="B1" s="34"/>
      <c r="C1" s="34"/>
      <c r="D1" s="34"/>
    </row>
    <row r="3" spans="1:4" x14ac:dyDescent="0.25">
      <c r="A3" s="36" t="s">
        <v>77</v>
      </c>
      <c r="B3" s="36" t="s">
        <v>78</v>
      </c>
      <c r="C3" s="36" t="s">
        <v>79</v>
      </c>
      <c r="D3" s="36" t="s">
        <v>80</v>
      </c>
    </row>
    <row r="4" spans="1:4" x14ac:dyDescent="0.25">
      <c r="A4" s="1" t="s">
        <v>81</v>
      </c>
      <c r="B4" s="1">
        <v>18.5</v>
      </c>
      <c r="C4" s="1">
        <v>34</v>
      </c>
      <c r="D4" s="1"/>
    </row>
    <row r="5" spans="1:4" x14ac:dyDescent="0.25">
      <c r="A5" s="1" t="s">
        <v>82</v>
      </c>
      <c r="B5" s="1">
        <v>25</v>
      </c>
      <c r="C5" s="1">
        <v>36.5</v>
      </c>
      <c r="D5" s="1"/>
    </row>
    <row r="6" spans="1:4" x14ac:dyDescent="0.25">
      <c r="A6" s="1" t="s">
        <v>83</v>
      </c>
      <c r="B6" s="1">
        <v>12</v>
      </c>
      <c r="C6" s="1">
        <v>32</v>
      </c>
      <c r="D6" s="1"/>
    </row>
    <row r="7" spans="1:4" x14ac:dyDescent="0.25">
      <c r="A7" s="1" t="s">
        <v>84</v>
      </c>
      <c r="B7" s="1">
        <v>30.5</v>
      </c>
      <c r="C7" s="1">
        <v>38</v>
      </c>
      <c r="D7" s="1"/>
    </row>
    <row r="8" spans="1:4" x14ac:dyDescent="0.25">
      <c r="A8" s="1" t="s">
        <v>85</v>
      </c>
      <c r="B8" s="1">
        <v>22</v>
      </c>
      <c r="C8" s="1">
        <v>35</v>
      </c>
      <c r="D8" s="1"/>
    </row>
    <row r="9" spans="1:4" x14ac:dyDescent="0.25">
      <c r="A9" s="1" t="s">
        <v>86</v>
      </c>
      <c r="B9" s="1">
        <v>15.5</v>
      </c>
      <c r="C9" s="1">
        <v>33.5</v>
      </c>
      <c r="D9" s="1"/>
    </row>
    <row r="10" spans="1:4" x14ac:dyDescent="0.25">
      <c r="A10" s="1" t="s">
        <v>87</v>
      </c>
      <c r="B10" s="1"/>
      <c r="C10" s="1" t="s">
        <v>88</v>
      </c>
      <c r="D10" s="1"/>
    </row>
    <row r="11" spans="1:4" x14ac:dyDescent="0.25">
      <c r="A11" s="1" t="s">
        <v>89</v>
      </c>
      <c r="B11" s="1"/>
      <c r="C11" s="1"/>
      <c r="D11" s="1"/>
    </row>
    <row r="12" spans="1:4" x14ac:dyDescent="0.25">
      <c r="A12" s="1" t="s">
        <v>90</v>
      </c>
      <c r="B12" s="1"/>
      <c r="C12" s="1"/>
      <c r="D12" s="1"/>
    </row>
    <row r="14" spans="1:4" x14ac:dyDescent="0.25">
      <c r="A14" s="17" t="s">
        <v>91</v>
      </c>
      <c r="B14" s="18"/>
      <c r="C14" s="18"/>
      <c r="D14" s="19"/>
    </row>
    <row r="15" spans="1:4" x14ac:dyDescent="0.25">
      <c r="A15" s="20" t="s">
        <v>92</v>
      </c>
      <c r="B15" s="35"/>
      <c r="C15" s="35"/>
      <c r="D15" s="22"/>
    </row>
    <row r="16" spans="1:4" x14ac:dyDescent="0.25">
      <c r="A16" s="20" t="s">
        <v>93</v>
      </c>
      <c r="B16" s="35"/>
      <c r="C16" s="35"/>
      <c r="D16" s="22"/>
    </row>
    <row r="17" spans="1:4" x14ac:dyDescent="0.25">
      <c r="A17" s="20" t="s">
        <v>94</v>
      </c>
      <c r="B17" s="35"/>
      <c r="C17" s="35"/>
      <c r="D17" s="22"/>
    </row>
    <row r="18" spans="1:4" x14ac:dyDescent="0.25">
      <c r="A18" s="13" t="s">
        <v>95</v>
      </c>
      <c r="B18" s="14"/>
      <c r="C18" s="14"/>
      <c r="D18" s="15"/>
    </row>
  </sheetData>
  <mergeCells count="5">
    <mergeCell ref="A14:D14"/>
    <mergeCell ref="A15:D15"/>
    <mergeCell ref="A16:D16"/>
    <mergeCell ref="A17:D17"/>
    <mergeCell ref="A18:D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Ativ1_Estrutura_Hangar</vt:lpstr>
      <vt:lpstr>Ativ2_Precedencia_ISA</vt:lpstr>
      <vt:lpstr>Ativ3_Media_vs_Mediana_OS</vt:lpstr>
      <vt:lpstr>Ativ4_Exercicio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Cassulino Araujo Souza</dc:creator>
  <cp:lastModifiedBy>Andre Cassulino Araujo Souza</cp:lastModifiedBy>
  <cp:lastPrinted>2026-09-04T11:13:05Z</cp:lastPrinted>
  <dcterms:created xsi:type="dcterms:W3CDTF">2026-09-04T10:41:42Z</dcterms:created>
  <dcterms:modified xsi:type="dcterms:W3CDTF">2026-09-18T12:24:10Z</dcterms:modified>
</cp:coreProperties>
</file>