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oes_e_Atalhos" sheetId="1" state="visible" r:id="rId1"/>
    <sheet xmlns:r="http://schemas.openxmlformats.org/officeDocument/2006/relationships" name="Ativ1_Estrutura_Hangar" sheetId="2" state="visible" r:id="rId2"/>
    <sheet xmlns:r="http://schemas.openxmlformats.org/officeDocument/2006/relationships" name="Ativ2_Dados_Iniciais" sheetId="3" state="visible" r:id="rId3"/>
    <sheet xmlns:r="http://schemas.openxmlformats.org/officeDocument/2006/relationships" name="Ativ3_Formulas_Operadores" sheetId="4" state="visible" r:id="rId4"/>
    <sheet xmlns:r="http://schemas.openxmlformats.org/officeDocument/2006/relationships" name="Ativ4_Formatacao_e_Totais" sheetId="5" state="visible" r:id="rId5"/>
    <sheet xmlns:r="http://schemas.openxmlformats.org/officeDocument/2006/relationships" name="Precedencia_Potencia_e_ISA" sheetId="6" state="visible" r:id="rId6"/>
    <sheet xmlns:r="http://schemas.openxmlformats.org/officeDocument/2006/relationships" name="Media_vs_Mediana_OS" sheetId="7" state="visible" r:id="rId7"/>
    <sheet xmlns:r="http://schemas.openxmlformats.org/officeDocument/2006/relationships" name="Exercicio_Fixacao_Consumo" sheetId="8" state="visible" r:id="rId8"/>
    <sheet xmlns:r="http://schemas.openxmlformats.org/officeDocument/2006/relationships" name="Gabarito_Complet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R$ #,##0.00"/>
    <numFmt numFmtId="165" formatCode="0.000"/>
    <numFmt numFmtId="166" formatCode="0.0"/>
    <numFmt numFmtId="167" formatCode="#,##0.0 &quot;Pa&quot;"/>
    <numFmt numFmtId="168" formatCode="0.0 &quot;°C&quot;"/>
    <numFmt numFmtId="169" formatCode="0.0000"/>
    <numFmt numFmtId="170" formatCode="#,##0 &quot;h&quot;"/>
    <numFmt numFmtId="171" formatCode="0.0 &quot;h&quot;"/>
    <numFmt numFmtId="172" formatCode="#,##0.0 &quot;L&quot;"/>
    <numFmt numFmtId="173" formatCode="0.0 &quot;L/h&quot;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0F2043"/>
      <sz val="11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color rgb="001E293B"/>
      <sz val="10"/>
    </font>
    <font>
      <name val="Consolas"/>
      <b val="1"/>
      <color rgb="00004085"/>
      <sz val="9"/>
    </font>
    <font>
      <name val="Segoe UI"/>
      <i val="1"/>
      <color rgb="0064748B"/>
      <sz val="9"/>
    </font>
    <font>
      <name val="Segoe UI"/>
      <b val="1"/>
      <color rgb="000F2043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</fonts>
  <fills count="10">
    <fill>
      <patternFill/>
    </fill>
    <fill>
      <patternFill patternType="gray125"/>
    </fill>
    <fill>
      <patternFill patternType="solid">
        <fgColor rgb="000F2043"/>
        <bgColor rgb="000F2043"/>
      </patternFill>
    </fill>
    <fill>
      <patternFill patternType="solid">
        <fgColor rgb="000072CE"/>
        <bgColor rgb="000072CE"/>
      </patternFill>
    </fill>
    <fill>
      <patternFill patternType="solid">
        <fgColor rgb="00F8FAFC"/>
        <bgColor rgb="00F8FAFC"/>
      </patternFill>
    </fill>
    <fill>
      <patternFill patternType="solid">
        <fgColor rgb="00EBF3FA"/>
        <bgColor rgb="00EBF3FA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6" borderId="2" applyAlignment="1" pivotButton="0" quotePrefix="0" xfId="0">
      <alignment horizontal="right" vertical="center"/>
    </xf>
    <xf numFmtId="0" fontId="0" fillId="6" borderId="2" pivotButton="0" quotePrefix="0" xfId="0"/>
    <xf numFmtId="164" fontId="4" fillId="6" borderId="2" applyAlignment="1" pivotButton="0" quotePrefix="0" xfId="0">
      <alignment horizontal="right" vertical="center"/>
    </xf>
    <xf numFmtId="164" fontId="8" fillId="6" borderId="2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4" fillId="6" borderId="1" applyAlignment="1" pivotButton="0" quotePrefix="0" xfId="0">
      <alignment horizontal="right" vertical="center"/>
    </xf>
    <xf numFmtId="170" fontId="4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0" fontId="0" fillId="8" borderId="1" pivotButton="0" quotePrefix="0" xfId="0"/>
    <xf numFmtId="171" fontId="9" fillId="8" borderId="1" applyAlignment="1" pivotButton="0" quotePrefix="0" xfId="0">
      <alignment horizontal="center" vertical="center"/>
    </xf>
    <xf numFmtId="0" fontId="10" fillId="9" borderId="2" applyAlignment="1" pivotButton="0" quotePrefix="0" xfId="0">
      <alignment horizontal="right" vertical="center"/>
    </xf>
    <xf numFmtId="0" fontId="0" fillId="9" borderId="2" pivotButton="0" quotePrefix="0" xfId="0"/>
    <xf numFmtId="164" fontId="10" fillId="9" borderId="2" applyAlignment="1" pivotButton="0" quotePrefix="0" xfId="0">
      <alignment horizontal="right" vertical="center"/>
    </xf>
    <xf numFmtId="171" fontId="10" fillId="9" borderId="2" applyAlignment="1" pivotButton="0" quotePrefix="0" xfId="0">
      <alignment horizontal="center" vertical="center"/>
    </xf>
    <xf numFmtId="172" fontId="4" fillId="4" borderId="1" applyAlignment="1" pivotButton="0" quotePrefix="0" xfId="0">
      <alignment horizontal="right" vertical="center"/>
    </xf>
    <xf numFmtId="172" fontId="4" fillId="0" borderId="1" applyAlignment="1" pivotButton="0" quotePrefix="0" xfId="0">
      <alignment horizontal="right" vertical="center"/>
    </xf>
    <xf numFmtId="171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72" fontId="8" fillId="6" borderId="1" applyAlignment="1" pivotButton="0" quotePrefix="0" xfId="0">
      <alignment horizontal="right" vertical="center"/>
    </xf>
    <xf numFmtId="171" fontId="4" fillId="5" borderId="1" applyAlignment="1" pivotButton="0" quotePrefix="0" xfId="0">
      <alignment horizontal="center" vertical="center"/>
    </xf>
    <xf numFmtId="173" fontId="4" fillId="5" borderId="1" applyAlignment="1" pivotButton="0" quotePrefix="0" xfId="0">
      <alignment horizontal="center" vertical="center"/>
    </xf>
    <xf numFmtId="172" fontId="8" fillId="5" borderId="1" applyAlignment="1" pivotButton="0" quotePrefix="0" xfId="0">
      <alignment horizontal="right" vertical="center"/>
    </xf>
    <xf numFmtId="0" fontId="4" fillId="9" borderId="2" applyAlignment="1" pivotButton="0" quotePrefix="0" xfId="0">
      <alignment horizontal="right" vertical="center"/>
    </xf>
    <xf numFmtId="171" fontId="4" fillId="9" borderId="2" applyAlignment="1" pivotButton="0" quotePrefix="0" xfId="0">
      <alignment horizontal="center" vertical="center"/>
    </xf>
    <xf numFmtId="173" fontId="4" fillId="9" borderId="2" applyAlignment="1" pivotButton="0" quotePrefix="0" xfId="0">
      <alignment horizontal="center" vertical="center"/>
    </xf>
    <xf numFmtId="172" fontId="10" fillId="9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32" customHeight="1">
      <c r="A1" s="1" t="inlineStr">
        <is>
          <t>INF-117 INFORMÁTICA APLICADA A AERONÁUTICA — AULA 05: GUIA DE ATIVIDADES NO EXCEL</t>
        </is>
      </c>
    </row>
    <row r="3">
      <c r="A3" s="2" t="inlineStr">
        <is>
          <t>Roteiro Prático Passo a Passo — Navegação entre as Abas da Planilha</t>
        </is>
      </c>
    </row>
    <row r="5">
      <c r="A5" s="3" t="inlineStr">
        <is>
          <t>Aba / Etapa</t>
        </is>
      </c>
      <c r="B5" s="4" t="inlineStr">
        <is>
          <t>Descrição da Atividade &amp; Objetivos de Aprendizagem</t>
        </is>
      </c>
    </row>
    <row r="6" ht="22" customHeight="1">
      <c r="A6" s="5" t="inlineStr">
        <is>
          <t>Aba 1: Ativ1_Estrutura_Hangar</t>
        </is>
      </c>
      <c r="B6" s="6" t="inlineStr">
        <is>
          <t>Criação do relatório do Aeroclube de Sorocaba, definição do título e dos cabeçalhos das 9 colunas.</t>
        </is>
      </c>
    </row>
    <row r="7" ht="22" customHeight="1">
      <c r="A7" s="7" t="inlineStr">
        <is>
          <t>Aba 2: Ativ2_Dados_Iniciais</t>
        </is>
      </c>
      <c r="B7" s="8" t="inlineStr">
        <is>
          <t>Inserção dos dados operacionais da frota de aeronaves (Prefixos, Modelos, Diárias, Preços e Combustível).</t>
        </is>
      </c>
    </row>
    <row r="8" ht="22" customHeight="1">
      <c r="A8" s="5" t="inlineStr">
        <is>
          <t>Aba 3: Ativ3_Formulas_Operadores</t>
        </is>
      </c>
      <c r="B8" s="6" t="inlineStr">
        <is>
          <t>Aplicação de operadores aritméticos básicos (* e +) para cálculo de Subtotais e Custo Total.</t>
        </is>
      </c>
    </row>
    <row r="9" ht="22" customHeight="1">
      <c r="A9" s="7" t="inlineStr">
        <is>
          <t>Aba 4: Ativ4_Formatacao_e_Totais</t>
        </is>
      </c>
      <c r="B9" s="8" t="inlineStr">
        <is>
          <t>Aplicação de formatação de moeda oficial (R$), alinhamentos, bordas e cálculo do TOTAL GERAL via =SOMA().</t>
        </is>
      </c>
    </row>
    <row r="10" ht="22" customHeight="1">
      <c r="A10" s="5" t="inlineStr">
        <is>
          <t>Aba 5: Precedencia_Potencia_e_ISA</t>
        </is>
      </c>
      <c r="B10" s="6" t="inlineStr">
        <is>
          <t>Exploração aprofundada dos operadores ^ e -: Pressão Dinâmica (0.5*rho*V^2) e Gradiente ISA (15 - 0.0065*h).</t>
        </is>
      </c>
    </row>
    <row r="11" ht="22" customHeight="1">
      <c r="A11" s="7" t="inlineStr">
        <is>
          <t>Aba 6: Media_vs_Mediana_OS</t>
        </is>
      </c>
      <c r="B11" s="8" t="inlineStr">
        <is>
          <t>Estudo de caso aeronáutico: Análise de ordens de serviço (OS) e o impacto de outliers em =MÉDIA() vs =MED().</t>
        </is>
      </c>
    </row>
    <row r="12" ht="22" customHeight="1">
      <c r="A12" s="5" t="inlineStr">
        <is>
          <t>Aba 7: Exercicio_Fixacao_Consumo</t>
        </is>
      </c>
      <c r="B12" s="6" t="inlineStr">
        <is>
          <t>Construção da planilha de consumo em horas de voo de instrução com =SOMA() e =MÉDIA().</t>
        </is>
      </c>
    </row>
    <row r="13" ht="22" customHeight="1">
      <c r="A13" s="7" t="inlineStr">
        <is>
          <t>Aba 8: Gabarito_Completo</t>
        </is>
      </c>
      <c r="B13" s="8" t="inlineStr">
        <is>
          <t>Painel consolidado completo com todas as fórmulas ativas e comparativos práticos.</t>
        </is>
      </c>
    </row>
    <row r="16">
      <c r="A16" s="2" t="inlineStr">
        <is>
          <t>Tabela de Atalhos Rápidos Essenciais no MS Excel</t>
        </is>
      </c>
    </row>
    <row r="18">
      <c r="A18" s="9" t="inlineStr">
        <is>
          <t>Atalho / Sintaxe</t>
        </is>
      </c>
      <c r="B18" s="10" t="inlineStr">
        <is>
          <t>Função no Excel</t>
        </is>
      </c>
    </row>
    <row r="19" ht="20" customHeight="1">
      <c r="A19" s="11" t="inlineStr">
        <is>
          <t>Ctrl + Z</t>
        </is>
      </c>
      <c r="B19" s="8" t="inlineStr">
        <is>
          <t>Desfazer a última ação</t>
        </is>
      </c>
    </row>
    <row r="20" ht="20" customHeight="1">
      <c r="A20" s="11" t="inlineStr">
        <is>
          <t>Ctrl + Y</t>
        </is>
      </c>
      <c r="B20" s="8" t="inlineStr">
        <is>
          <t>Refazer a última ação</t>
        </is>
      </c>
    </row>
    <row r="21" ht="20" customHeight="1">
      <c r="A21" s="11" t="inlineStr">
        <is>
          <t>Alt + =</t>
        </is>
      </c>
      <c r="B21" s="8" t="inlineStr">
        <is>
          <t>Insere automaticamente a fórmula de Soma (=SOMA)</t>
        </is>
      </c>
    </row>
    <row r="22" ht="20" customHeight="1">
      <c r="A22" s="11" t="inlineStr">
        <is>
          <t>Ctrl + Shift + $</t>
        </is>
      </c>
      <c r="B22" s="8" t="inlineStr">
        <is>
          <t>Aplica a formatação de Moeda (R$) nas células selecionadas</t>
        </is>
      </c>
    </row>
    <row r="23" ht="20" customHeight="1">
      <c r="A23" s="11" t="inlineStr">
        <is>
          <t>Ctrl + Shift + %</t>
        </is>
      </c>
      <c r="B23" s="8" t="inlineStr">
        <is>
          <t>Aplica a formatação de Porcentagem (%)</t>
        </is>
      </c>
    </row>
    <row r="24" ht="20" customHeight="1">
      <c r="A24" s="11">
        <f>MED(intervalo)</f>
        <v/>
      </c>
      <c r="B24" s="8" t="inlineStr">
        <is>
          <t>Calcula a Mediana (valor central, imune a distorções por outliers)</t>
        </is>
      </c>
    </row>
    <row r="25" ht="20" customHeight="1">
      <c r="A25" s="11">
        <f>MÉDIA(intervalo)</f>
        <v/>
      </c>
      <c r="B25" s="8" t="inlineStr">
        <is>
          <t>Calcula a Média Aritmética (soma dividida pela quantidade)</t>
        </is>
      </c>
    </row>
    <row r="26" ht="20" customHeight="1">
      <c r="A26" s="11" t="inlineStr">
        <is>
          <t>Duplo clique na borda</t>
        </is>
      </c>
      <c r="B26" s="8" t="inlineStr">
        <is>
          <t>Autoajusta a largura da coluna ao conteúdo mais extenso</t>
        </is>
      </c>
    </row>
  </sheetData>
  <mergeCells count="19">
    <mergeCell ref="B23:D23"/>
    <mergeCell ref="B8:G8"/>
    <mergeCell ref="B13:G13"/>
    <mergeCell ref="B10:G10"/>
    <mergeCell ref="B19:D19"/>
    <mergeCell ref="B9:G9"/>
    <mergeCell ref="B24:D24"/>
    <mergeCell ref="B20:D20"/>
    <mergeCell ref="B6:G6"/>
    <mergeCell ref="A1:G1"/>
    <mergeCell ref="B5:G5"/>
    <mergeCell ref="B26:D26"/>
    <mergeCell ref="B25:D25"/>
    <mergeCell ref="B7:G7"/>
    <mergeCell ref="B22:D22"/>
    <mergeCell ref="B18:D18"/>
    <mergeCell ref="B12:G12"/>
    <mergeCell ref="B21:D21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42" customWidth="1" min="1" max="1"/>
    <col width="21" customWidth="1" min="2" max="2"/>
    <col width="17" customWidth="1" min="3" max="3"/>
    <col width="23" customWidth="1" min="4" max="4"/>
    <col width="25" customWidth="1" min="5" max="5"/>
    <col width="23" customWidth="1" min="6" max="6"/>
    <col width="23" customWidth="1" min="7" max="7"/>
    <col width="28" customWidth="1" min="8" max="8"/>
    <col width="19" customWidth="1" min="9" max="9"/>
  </cols>
  <sheetData>
    <row r="1" ht="30" customHeight="1">
      <c r="A1" s="1" t="inlineStr">
        <is>
          <t>AEROCLUBE DE SOROCABA — CONTROLE DE HANGARAGEM E ABASTECIMENTO</t>
        </is>
      </c>
    </row>
    <row r="2" ht="18" customHeight="1">
      <c r="A2" s="12" t="inlineStr">
        <is>
          <t>Etapa 1: Definição do Título da Planilha e Estrutura das 9 Colunas de Controle Operacional</t>
        </is>
      </c>
    </row>
    <row r="3" ht="28" customHeight="1">
      <c r="A3" s="13" t="inlineStr">
        <is>
          <t>Prefixo</t>
        </is>
      </c>
      <c r="B3" s="13" t="inlineStr">
        <is>
          <t>Modelo da Aeronave</t>
        </is>
      </c>
      <c r="C3" s="13" t="inlineStr">
        <is>
          <t>Diárias Hangar</t>
        </is>
      </c>
      <c r="D3" s="13" t="inlineStr">
        <is>
          <t>Valor da Diária (R$)</t>
        </is>
      </c>
      <c r="E3" s="13" t="inlineStr">
        <is>
          <t>Litros Abastecidos (L)</t>
        </is>
      </c>
      <c r="F3" s="13" t="inlineStr">
        <is>
          <t>Preço por Litro (R$)</t>
        </is>
      </c>
      <c r="G3" s="13" t="inlineStr">
        <is>
          <t>Subtotal Hangar (R$)</t>
        </is>
      </c>
      <c r="H3" s="13" t="inlineStr">
        <is>
          <t>Subtotal Combustível (R$)</t>
        </is>
      </c>
      <c r="I3" s="13" t="inlineStr">
        <is>
          <t>Custo Total (R$)</t>
        </is>
      </c>
    </row>
    <row r="4" ht="20" customHeight="1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</row>
    <row r="5" ht="20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</row>
    <row r="6" ht="20" customHeight="1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0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</row>
    <row r="8" ht="20" customHeight="1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</row>
    <row r="9"/>
    <row r="10"/>
    <row r="11">
      <c r="A11" s="15" t="inlineStr">
        <is>
          <t>ORIENTAÇÃO DA ATIVIDADE 1:
• Nesta etapa inicial, definimos o cabeçalho principal na linha 1 e as 9 colunas na linha 3.
• Observe que as colunas A a F receberão dados brutos de entrada, enquanto as colunas G, H e I serão campos calculados.</t>
        </is>
      </c>
    </row>
    <row r="12"/>
    <row r="13"/>
  </sheetData>
  <mergeCells count="3">
    <mergeCell ref="A1:I1"/>
    <mergeCell ref="A11:I1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47" customWidth="1" min="1" max="1"/>
    <col width="21" customWidth="1" min="2" max="2"/>
    <col width="17" customWidth="1" min="3" max="3"/>
    <col width="23" customWidth="1" min="4" max="4"/>
    <col width="25" customWidth="1" min="5" max="5"/>
    <col width="23" customWidth="1" min="6" max="6"/>
    <col width="23" customWidth="1" min="7" max="7"/>
    <col width="28" customWidth="1" min="8" max="8"/>
    <col width="19" customWidth="1" min="9" max="9"/>
  </cols>
  <sheetData>
    <row r="1" ht="30" customHeight="1">
      <c r="A1" s="1" t="inlineStr">
        <is>
          <t>AEROCLUBE DE SOROCABA — CONTROLE DE HANGARAGEM E ABASTECIMENTO</t>
        </is>
      </c>
    </row>
    <row r="2"/>
    <row r="3" ht="28" customHeight="1">
      <c r="A3" s="13" t="inlineStr">
        <is>
          <t>Prefixo</t>
        </is>
      </c>
      <c r="B3" s="13" t="inlineStr">
        <is>
          <t>Modelo da Aeronave</t>
        </is>
      </c>
      <c r="C3" s="13" t="inlineStr">
        <is>
          <t>Diárias Hangar</t>
        </is>
      </c>
      <c r="D3" s="13" t="inlineStr">
        <is>
          <t>Valor da Diária (R$)</t>
        </is>
      </c>
      <c r="E3" s="13" t="inlineStr">
        <is>
          <t>Litros Abastecidos (L)</t>
        </is>
      </c>
      <c r="F3" s="13" t="inlineStr">
        <is>
          <t>Preço por Litro (R$)</t>
        </is>
      </c>
      <c r="G3" s="13" t="inlineStr">
        <is>
          <t>Subtotal Hangar (R$)</t>
        </is>
      </c>
      <c r="H3" s="13" t="inlineStr">
        <is>
          <t>Subtotal Combustível (R$)</t>
        </is>
      </c>
      <c r="I3" s="13" t="inlineStr">
        <is>
          <t>Custo Total (R$)</t>
        </is>
      </c>
    </row>
    <row r="4" ht="20" customHeight="1">
      <c r="A4" s="16" t="inlineStr">
        <is>
          <t>PR-ABC</t>
        </is>
      </c>
      <c r="B4" s="8" t="inlineStr">
        <is>
          <t>Cessna 172</t>
        </is>
      </c>
      <c r="C4" s="16" t="n">
        <v>4</v>
      </c>
      <c r="D4" s="17" t="n">
        <v>150</v>
      </c>
      <c r="E4" s="16" t="n">
        <v>120</v>
      </c>
      <c r="F4" s="17" t="n">
        <v>11.5</v>
      </c>
      <c r="G4" s="14" t="n"/>
      <c r="H4" s="14" t="n"/>
      <c r="I4" s="14" t="n"/>
    </row>
    <row r="5" ht="20" customHeight="1">
      <c r="A5" s="16" t="inlineStr">
        <is>
          <t>PT-KRT</t>
        </is>
      </c>
      <c r="B5" s="8" t="inlineStr">
        <is>
          <t>Piper Seneca</t>
        </is>
      </c>
      <c r="C5" s="16" t="n">
        <v>10</v>
      </c>
      <c r="D5" s="17" t="n">
        <v>280</v>
      </c>
      <c r="E5" s="16" t="n">
        <v>350</v>
      </c>
      <c r="F5" s="17" t="n">
        <v>11.5</v>
      </c>
      <c r="G5" s="14" t="n"/>
      <c r="H5" s="14" t="n"/>
      <c r="I5" s="14" t="n"/>
    </row>
    <row r="6" ht="20" customHeight="1">
      <c r="A6" s="16" t="inlineStr">
        <is>
          <t>PR-FTE</t>
        </is>
      </c>
      <c r="B6" s="8" t="inlineStr">
        <is>
          <t>Beech Baron</t>
        </is>
      </c>
      <c r="C6" s="16" t="n">
        <v>7</v>
      </c>
      <c r="D6" s="17" t="n">
        <v>320</v>
      </c>
      <c r="E6" s="16" t="n">
        <v>280</v>
      </c>
      <c r="F6" s="17" t="n">
        <v>11.5</v>
      </c>
      <c r="G6" s="14" t="n"/>
      <c r="H6" s="14" t="n"/>
      <c r="I6" s="14" t="n"/>
    </row>
    <row r="7" ht="20" customHeight="1">
      <c r="A7" s="16" t="inlineStr">
        <is>
          <t>PP-ZUL</t>
        </is>
      </c>
      <c r="B7" s="8" t="inlineStr">
        <is>
          <t>Cirrus SR22</t>
        </is>
      </c>
      <c r="C7" s="16" t="n">
        <v>3</v>
      </c>
      <c r="D7" s="17" t="n">
        <v>220</v>
      </c>
      <c r="E7" s="16" t="n">
        <v>160</v>
      </c>
      <c r="F7" s="17" t="n">
        <v>11.5</v>
      </c>
      <c r="G7" s="14" t="n"/>
      <c r="H7" s="14" t="n"/>
      <c r="I7" s="14" t="n"/>
    </row>
    <row r="8" ht="20" customHeight="1">
      <c r="A8" s="16" t="inlineStr">
        <is>
          <t>PR-MNT</t>
        </is>
      </c>
      <c r="B8" s="8" t="inlineStr">
        <is>
          <t>Cessna 152</t>
        </is>
      </c>
      <c r="C8" s="16" t="n">
        <v>15</v>
      </c>
      <c r="D8" s="17" t="n">
        <v>120</v>
      </c>
      <c r="E8" s="16" t="n">
        <v>90</v>
      </c>
      <c r="F8" s="17" t="n">
        <v>11.5</v>
      </c>
      <c r="G8" s="14" t="n"/>
      <c r="H8" s="14" t="n"/>
      <c r="I8" s="14" t="n"/>
    </row>
    <row r="9"/>
    <row r="10"/>
    <row r="11">
      <c r="A11" s="15" t="inlineStr">
        <is>
          <t>ORIENTAÇÃO DA ATIVIDADE 2:
• Inserimos os dados das 5 aeronaves operadas na semana (linhas 4 a 8).
• Note que os valores monetários ainda estão como números puros (ex: 150 e 11.5). Na próxima etapa iremos criar as fórmulas nas colunas G, H e I.</t>
        </is>
      </c>
    </row>
    <row r="12"/>
    <row r="13"/>
  </sheetData>
  <mergeCells count="2">
    <mergeCell ref="A1:I1"/>
    <mergeCell ref="A11:I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349" customWidth="1" min="1" max="1"/>
    <col width="21" customWidth="1" min="2" max="2"/>
    <col width="17" customWidth="1" min="3" max="3"/>
    <col width="23" customWidth="1" min="4" max="4"/>
    <col width="25" customWidth="1" min="5" max="5"/>
    <col width="23" customWidth="1" min="6" max="6"/>
    <col width="23" customWidth="1" min="7" max="7"/>
    <col width="28" customWidth="1" min="8" max="8"/>
    <col width="19" customWidth="1" min="9" max="9"/>
  </cols>
  <sheetData>
    <row r="1" ht="30" customHeight="1">
      <c r="A1" s="1" t="inlineStr">
        <is>
          <t>AEROCLUBE DE SOROCABA — CONTROLE DE HANGARAGEM E ABASTECIMENTO</t>
        </is>
      </c>
    </row>
    <row r="2"/>
    <row r="3" ht="28" customHeight="1">
      <c r="A3" s="13" t="inlineStr">
        <is>
          <t>Prefixo</t>
        </is>
      </c>
      <c r="B3" s="13" t="inlineStr">
        <is>
          <t>Modelo da Aeronave</t>
        </is>
      </c>
      <c r="C3" s="13" t="inlineStr">
        <is>
          <t>Diárias Hangar</t>
        </is>
      </c>
      <c r="D3" s="13" t="inlineStr">
        <is>
          <t>Valor da Diária (R$)</t>
        </is>
      </c>
      <c r="E3" s="13" t="inlineStr">
        <is>
          <t>Litros Abastecidos (L)</t>
        </is>
      </c>
      <c r="F3" s="13" t="inlineStr">
        <is>
          <t>Preço por Litro (R$)</t>
        </is>
      </c>
      <c r="G3" s="18" t="inlineStr">
        <is>
          <t>Subtotal Hangar (R$)</t>
        </is>
      </c>
      <c r="H3" s="18" t="inlineStr">
        <is>
          <t>Subtotal Combustível (R$)</t>
        </is>
      </c>
      <c r="I3" s="18" t="inlineStr">
        <is>
          <t>Custo Total (R$)</t>
        </is>
      </c>
    </row>
    <row r="4" ht="20" customHeight="1">
      <c r="A4" s="16" t="inlineStr">
        <is>
          <t>PR-ABC</t>
        </is>
      </c>
      <c r="B4" s="8" t="inlineStr">
        <is>
          <t>Cessna 172</t>
        </is>
      </c>
      <c r="C4" s="16" t="n">
        <v>4</v>
      </c>
      <c r="D4" s="17" t="n">
        <v>150</v>
      </c>
      <c r="E4" s="16" t="n">
        <v>120</v>
      </c>
      <c r="F4" s="17" t="n">
        <v>11.5</v>
      </c>
      <c r="G4" s="19">
        <f>C4*D4</f>
        <v/>
      </c>
      <c r="H4" s="19">
        <f>E4*F4</f>
        <v/>
      </c>
      <c r="I4" s="19">
        <f>G4+H4</f>
        <v/>
      </c>
    </row>
    <row r="5" ht="20" customHeight="1">
      <c r="A5" s="16" t="inlineStr">
        <is>
          <t>PT-KRT</t>
        </is>
      </c>
      <c r="B5" s="8" t="inlineStr">
        <is>
          <t>Piper Seneca</t>
        </is>
      </c>
      <c r="C5" s="16" t="n">
        <v>10</v>
      </c>
      <c r="D5" s="17" t="n">
        <v>280</v>
      </c>
      <c r="E5" s="16" t="n">
        <v>350</v>
      </c>
      <c r="F5" s="17" t="n">
        <v>11.5</v>
      </c>
      <c r="G5" s="19">
        <f>C5*D5</f>
        <v/>
      </c>
      <c r="H5" s="19">
        <f>E5*F5</f>
        <v/>
      </c>
      <c r="I5" s="19">
        <f>G5+H5</f>
        <v/>
      </c>
    </row>
    <row r="6" ht="20" customHeight="1">
      <c r="A6" s="16" t="inlineStr">
        <is>
          <t>PR-FTE</t>
        </is>
      </c>
      <c r="B6" s="8" t="inlineStr">
        <is>
          <t>Beech Baron</t>
        </is>
      </c>
      <c r="C6" s="16" t="n">
        <v>7</v>
      </c>
      <c r="D6" s="17" t="n">
        <v>320</v>
      </c>
      <c r="E6" s="16" t="n">
        <v>280</v>
      </c>
      <c r="F6" s="17" t="n">
        <v>11.5</v>
      </c>
      <c r="G6" s="19">
        <f>C6*D6</f>
        <v/>
      </c>
      <c r="H6" s="19">
        <f>E6*F6</f>
        <v/>
      </c>
      <c r="I6" s="19">
        <f>G6+H6</f>
        <v/>
      </c>
    </row>
    <row r="7" ht="20" customHeight="1">
      <c r="A7" s="16" t="inlineStr">
        <is>
          <t>PP-ZUL</t>
        </is>
      </c>
      <c r="B7" s="8" t="inlineStr">
        <is>
          <t>Cirrus SR22</t>
        </is>
      </c>
      <c r="C7" s="16" t="n">
        <v>3</v>
      </c>
      <c r="D7" s="17" t="n">
        <v>220</v>
      </c>
      <c r="E7" s="16" t="n">
        <v>160</v>
      </c>
      <c r="F7" s="17" t="n">
        <v>11.5</v>
      </c>
      <c r="G7" s="19">
        <f>C7*D7</f>
        <v/>
      </c>
      <c r="H7" s="19">
        <f>E7*F7</f>
        <v/>
      </c>
      <c r="I7" s="19">
        <f>G7+H7</f>
        <v/>
      </c>
    </row>
    <row r="8" ht="20" customHeight="1">
      <c r="A8" s="16" t="inlineStr">
        <is>
          <t>PR-MNT</t>
        </is>
      </c>
      <c r="B8" s="8" t="inlineStr">
        <is>
          <t>Cessna 152</t>
        </is>
      </c>
      <c r="C8" s="16" t="n">
        <v>15</v>
      </c>
      <c r="D8" s="17" t="n">
        <v>120</v>
      </c>
      <c r="E8" s="16" t="n">
        <v>90</v>
      </c>
      <c r="F8" s="17" t="n">
        <v>11.5</v>
      </c>
      <c r="G8" s="19">
        <f>C8*D8</f>
        <v/>
      </c>
      <c r="H8" s="19">
        <f>E8*F8</f>
        <v/>
      </c>
      <c r="I8" s="19">
        <f>G8+H8</f>
        <v/>
      </c>
    </row>
    <row r="9"/>
    <row r="10"/>
    <row r="11">
      <c r="A11" s="15" t="inlineStr">
        <is>
          <t>FÓRMULAS CONSTRUÍDAS NESTA ETAPA:
• Subtotal Hangar (G4): =C4*D4  (Diárias × Valor da Diária)
• Subtotal Combustível (H4): =E4*F4  (Litros × Preço por Litro)
• Custo Total (I4): =G4+H4  (Subtotal Hangar + Subtotal Combustível)
• Alça de Preenchimento: Selecione G4:I4 e dê duplo clique no quadradinho inferior direito para replicar até a linha 8!</t>
        </is>
      </c>
    </row>
    <row r="12"/>
    <row r="13"/>
    <row r="14"/>
  </sheetData>
  <mergeCells count="2">
    <mergeCell ref="A1:I1"/>
    <mergeCell ref="A11:I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55" customWidth="1" min="1" max="1"/>
    <col width="21" customWidth="1" min="2" max="2"/>
    <col width="17" customWidth="1" min="3" max="3"/>
    <col width="23" customWidth="1" min="4" max="4"/>
    <col width="25" customWidth="1" min="5" max="5"/>
    <col width="23" customWidth="1" min="6" max="6"/>
    <col width="23" customWidth="1" min="7" max="7"/>
    <col width="28" customWidth="1" min="8" max="8"/>
    <col width="19" customWidth="1" min="9" max="9"/>
  </cols>
  <sheetData>
    <row r="1" ht="30" customHeight="1">
      <c r="A1" s="1" t="inlineStr">
        <is>
          <t>AEROCLUBE DE SOROCABA — CONTROLE DE HANGARAGEM E ABASTECIMENTO</t>
        </is>
      </c>
    </row>
    <row r="2"/>
    <row r="3" ht="28" customHeight="1">
      <c r="A3" s="13" t="inlineStr">
        <is>
          <t>Prefixo</t>
        </is>
      </c>
      <c r="B3" s="13" t="inlineStr">
        <is>
          <t>Modelo da Aeronave</t>
        </is>
      </c>
      <c r="C3" s="13" t="inlineStr">
        <is>
          <t>Diárias Hangar</t>
        </is>
      </c>
      <c r="D3" s="13" t="inlineStr">
        <is>
          <t>Valor da Diária (R$)</t>
        </is>
      </c>
      <c r="E3" s="13" t="inlineStr">
        <is>
          <t>Litros Abastecidos (L)</t>
        </is>
      </c>
      <c r="F3" s="13" t="inlineStr">
        <is>
          <t>Preço por Litro (R$)</t>
        </is>
      </c>
      <c r="G3" s="13" t="inlineStr">
        <is>
          <t>Subtotal Hangar (R$)</t>
        </is>
      </c>
      <c r="H3" s="13" t="inlineStr">
        <is>
          <t>Subtotal Combustível (R$)</t>
        </is>
      </c>
      <c r="I3" s="13" t="inlineStr">
        <is>
          <t>Custo Total (R$)</t>
        </is>
      </c>
    </row>
    <row r="4" ht="20" customHeight="1">
      <c r="A4" s="20" t="inlineStr">
        <is>
          <t>PR-ABC</t>
        </is>
      </c>
      <c r="B4" s="6" t="inlineStr">
        <is>
          <t>Cessna 172</t>
        </is>
      </c>
      <c r="C4" s="21" t="n">
        <v>4</v>
      </c>
      <c r="D4" s="22" t="n">
        <v>150</v>
      </c>
      <c r="E4" s="21" t="n">
        <v>120</v>
      </c>
      <c r="F4" s="22" t="n">
        <v>11.5</v>
      </c>
      <c r="G4" s="22">
        <f>C4*D4</f>
        <v/>
      </c>
      <c r="H4" s="22">
        <f>E4*F4</f>
        <v/>
      </c>
      <c r="I4" s="23">
        <f>G4+H4</f>
        <v/>
      </c>
    </row>
    <row r="5" ht="20" customHeight="1">
      <c r="A5" s="24" t="inlineStr">
        <is>
          <t>PT-KRT</t>
        </is>
      </c>
      <c r="B5" s="8" t="inlineStr">
        <is>
          <t>Piper Seneca</t>
        </is>
      </c>
      <c r="C5" s="25" t="n">
        <v>10</v>
      </c>
      <c r="D5" s="26" t="n">
        <v>280</v>
      </c>
      <c r="E5" s="25" t="n">
        <v>350</v>
      </c>
      <c r="F5" s="26" t="n">
        <v>11.5</v>
      </c>
      <c r="G5" s="26">
        <f>C5*D5</f>
        <v/>
      </c>
      <c r="H5" s="26">
        <f>E5*F5</f>
        <v/>
      </c>
      <c r="I5" s="27">
        <f>G5+H5</f>
        <v/>
      </c>
    </row>
    <row r="6" ht="20" customHeight="1">
      <c r="A6" s="20" t="inlineStr">
        <is>
          <t>PR-FTE</t>
        </is>
      </c>
      <c r="B6" s="6" t="inlineStr">
        <is>
          <t>Beech Baron</t>
        </is>
      </c>
      <c r="C6" s="21" t="n">
        <v>7</v>
      </c>
      <c r="D6" s="22" t="n">
        <v>320</v>
      </c>
      <c r="E6" s="21" t="n">
        <v>280</v>
      </c>
      <c r="F6" s="22" t="n">
        <v>11.5</v>
      </c>
      <c r="G6" s="22">
        <f>C6*D6</f>
        <v/>
      </c>
      <c r="H6" s="22">
        <f>E6*F6</f>
        <v/>
      </c>
      <c r="I6" s="23">
        <f>G6+H6</f>
        <v/>
      </c>
    </row>
    <row r="7" ht="20" customHeight="1">
      <c r="A7" s="24" t="inlineStr">
        <is>
          <t>PP-ZUL</t>
        </is>
      </c>
      <c r="B7" s="8" t="inlineStr">
        <is>
          <t>Cirrus SR22</t>
        </is>
      </c>
      <c r="C7" s="25" t="n">
        <v>3</v>
      </c>
      <c r="D7" s="26" t="n">
        <v>220</v>
      </c>
      <c r="E7" s="25" t="n">
        <v>160</v>
      </c>
      <c r="F7" s="26" t="n">
        <v>11.5</v>
      </c>
      <c r="G7" s="26">
        <f>C7*D7</f>
        <v/>
      </c>
      <c r="H7" s="26">
        <f>E7*F7</f>
        <v/>
      </c>
      <c r="I7" s="27">
        <f>G7+H7</f>
        <v/>
      </c>
    </row>
    <row r="8" ht="20" customHeight="1">
      <c r="A8" s="20" t="inlineStr">
        <is>
          <t>PR-MNT</t>
        </is>
      </c>
      <c r="B8" s="6" t="inlineStr">
        <is>
          <t>Cessna 152</t>
        </is>
      </c>
      <c r="C8" s="21" t="n">
        <v>15</v>
      </c>
      <c r="D8" s="22" t="n">
        <v>120</v>
      </c>
      <c r="E8" s="21" t="n">
        <v>90</v>
      </c>
      <c r="F8" s="22" t="n">
        <v>11.5</v>
      </c>
      <c r="G8" s="22">
        <f>C8*D8</f>
        <v/>
      </c>
      <c r="H8" s="22">
        <f>E8*F8</f>
        <v/>
      </c>
      <c r="I8" s="23">
        <f>G8+H8</f>
        <v/>
      </c>
    </row>
    <row r="9" ht="22" customHeight="1">
      <c r="A9" s="28" t="inlineStr">
        <is>
          <t>TOTAL GERAL</t>
        </is>
      </c>
      <c r="B9" s="29" t="n"/>
      <c r="C9" s="29" t="n"/>
      <c r="D9" s="29" t="n"/>
      <c r="E9" s="29" t="n"/>
      <c r="F9" s="29" t="n"/>
      <c r="G9" s="30">
        <f>SUM(G4:G8)</f>
        <v/>
      </c>
      <c r="H9" s="30">
        <f>SUM(H4:H8)</f>
        <v/>
      </c>
      <c r="I9" s="31">
        <f>SUM(I4:I8)</f>
        <v/>
      </c>
    </row>
    <row r="10"/>
    <row r="11">
      <c r="A11" s="15" t="inlineStr">
        <is>
          <t>RESULTADO FINAL DA ATIVIDADE 4:
• Formatação em Moeda Oficial (R$ #.##0,00) aplicada a todas as colunas de valor.
• Linha 9 consolidada com a função =SOMA() em G9, H9 e I9.
• Bordas duplas na parte inferior indicam o encerramento do balanço financeiro.</t>
        </is>
      </c>
    </row>
    <row r="12"/>
    <row r="13"/>
  </sheetData>
  <mergeCells count="3">
    <mergeCell ref="A1:I1"/>
    <mergeCell ref="A11:I13"/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470" customWidth="1" min="1" max="1"/>
    <col width="38" customWidth="1" min="2" max="2"/>
    <col width="21" customWidth="1" min="3" max="3"/>
    <col width="19" customWidth="1" min="4" max="4"/>
    <col width="32" customWidth="1" min="5" max="5"/>
  </cols>
  <sheetData>
    <row r="1" ht="30" customHeight="1">
      <c r="A1" s="1" t="inlineStr">
        <is>
          <t>LABORATÓRIO DE CÁLCULO: PRECEDÊNCIA MATEMÁTICA, OPERADORES ^ E - EM FÍSICA AERONÁUTICA</t>
        </is>
      </c>
    </row>
    <row r="2"/>
    <row r="3">
      <c r="A3" s="2" t="inlineStr">
        <is>
          <t>1. Cálculo de Pressão Dinâmica Aerodinâmica: q = 0.5 * ρ * V²</t>
        </is>
      </c>
    </row>
    <row r="4" ht="25" customHeight="1">
      <c r="A4" s="13" t="inlineStr">
        <is>
          <t>Aeronave</t>
        </is>
      </c>
      <c r="B4" s="13" t="inlineStr">
        <is>
          <t>Densidade do Ar ρ (kg/m³)</t>
        </is>
      </c>
      <c r="C4" s="13" t="inlineStr">
        <is>
          <t>Velocidade V (m/s)</t>
        </is>
      </c>
      <c r="D4" s="13" t="inlineStr">
        <is>
          <t>Fórmula no Excel</t>
        </is>
      </c>
      <c r="E4" s="13" t="inlineStr">
        <is>
          <t>Pressão Dinâmica q (Pa)</t>
        </is>
      </c>
    </row>
    <row r="5" ht="20" customHeight="1">
      <c r="A5" s="7" t="inlineStr">
        <is>
          <t>Cessna 152 (Cruzeiro)</t>
        </is>
      </c>
      <c r="B5" s="32" t="n">
        <v>1.225</v>
      </c>
      <c r="C5" s="33" t="n">
        <v>51.4</v>
      </c>
      <c r="D5" s="11">
        <f>0.5 * B5 * C5^2</f>
        <v/>
      </c>
      <c r="E5" s="34">
        <f>0.5*B5*C5^2</f>
        <v/>
      </c>
    </row>
    <row r="6" ht="20" customHeight="1">
      <c r="A6" s="5" t="inlineStr">
        <is>
          <t>Cessna 172 (Cruzeiro)</t>
        </is>
      </c>
      <c r="B6" s="35" t="n">
        <v>1.225</v>
      </c>
      <c r="C6" s="36" t="n">
        <v>61.7</v>
      </c>
      <c r="D6" s="11">
        <f>0.5 * B6 * C6^2</f>
        <v/>
      </c>
      <c r="E6" s="37">
        <f>0.5*B6*C6^2</f>
        <v/>
      </c>
    </row>
    <row r="7" ht="20" customHeight="1">
      <c r="A7" s="7" t="inlineStr">
        <is>
          <t>Cirrus SR22 (Cruzeiro)</t>
        </is>
      </c>
      <c r="B7" s="32" t="n">
        <v>1.1</v>
      </c>
      <c r="C7" s="33" t="n">
        <v>92.59999999999999</v>
      </c>
      <c r="D7" s="11">
        <f>0.5 * B7 * C7^2</f>
        <v/>
      </c>
      <c r="E7" s="34">
        <f>0.5*B7*C7^2</f>
        <v/>
      </c>
    </row>
    <row r="8" ht="20" customHeight="1">
      <c r="A8" s="5" t="inlineStr">
        <is>
          <t>Embraer E195-E2 (Cruzeiro FL350)</t>
        </is>
      </c>
      <c r="B8" s="35" t="n">
        <v>0.38</v>
      </c>
      <c r="C8" s="36" t="n">
        <v>240</v>
      </c>
      <c r="D8" s="11">
        <f>0.5 * B8 * C8^2</f>
        <v/>
      </c>
      <c r="E8" s="37">
        <f>0.5*B8*C8^2</f>
        <v/>
      </c>
    </row>
    <row r="9"/>
    <row r="10"/>
    <row r="11">
      <c r="A11" s="2" t="inlineStr">
        <is>
          <t>2. Gradiente Térmico na Atmosfera Padrão (ISA): T = T₀ - (0,0065 * h)</t>
        </is>
      </c>
    </row>
    <row r="12" ht="25" customHeight="1">
      <c r="A12" s="18" t="inlineStr">
        <is>
          <t>Nível de Voo / Altitude (m)</t>
        </is>
      </c>
      <c r="B12" s="18" t="inlineStr">
        <is>
          <t>Temperatura ao Nível do Mar T₀ (°C)</t>
        </is>
      </c>
      <c r="C12" s="18" t="inlineStr">
        <is>
          <t>Gradiente (°C/m)</t>
        </is>
      </c>
      <c r="D12" s="18" t="inlineStr">
        <is>
          <t>Fórmula no Excel</t>
        </is>
      </c>
      <c r="E12" s="18" t="inlineStr">
        <is>
          <t>Temperatura Estimada ISA (°C)</t>
        </is>
      </c>
    </row>
    <row r="13" ht="20" customHeight="1">
      <c r="A13" s="7" t="inlineStr">
        <is>
          <t>0 m (Nível do Mar)</t>
        </is>
      </c>
      <c r="B13" s="38" t="n">
        <v>15</v>
      </c>
      <c r="C13" s="39" t="n">
        <v>0.0065</v>
      </c>
      <c r="D13" s="11">
        <f>B13 - (C13 * 0)</f>
        <v/>
      </c>
      <c r="E13" s="40">
        <f>B13-(C13*0)</f>
        <v/>
      </c>
    </row>
    <row r="14" ht="20" customHeight="1">
      <c r="A14" s="5" t="inlineStr">
        <is>
          <t>1.000 m (Tráfego)</t>
        </is>
      </c>
      <c r="B14" s="41" t="n">
        <v>15</v>
      </c>
      <c r="C14" s="42" t="n">
        <v>0.0065</v>
      </c>
      <c r="D14" s="11">
        <f>B14 - (C14 * 1000)</f>
        <v/>
      </c>
      <c r="E14" s="43">
        <f>B14-(C14*1000)</f>
        <v/>
      </c>
    </row>
    <row r="15" ht="20" customHeight="1">
      <c r="A15" s="7" t="inlineStr">
        <is>
          <t>3.000 m (Navegação)</t>
        </is>
      </c>
      <c r="B15" s="38" t="n">
        <v>15</v>
      </c>
      <c r="C15" s="39" t="n">
        <v>0.0065</v>
      </c>
      <c r="D15" s="11">
        <f>B15 - (C15 * 3000)</f>
        <v/>
      </c>
      <c r="E15" s="40">
        <f>B15-(C15*3000)</f>
        <v/>
      </c>
    </row>
    <row r="16" ht="20" customHeight="1">
      <c r="A16" s="5" t="inlineStr">
        <is>
          <t>11.000 m (Tropopausa)</t>
        </is>
      </c>
      <c r="B16" s="41" t="n">
        <v>15</v>
      </c>
      <c r="C16" s="42" t="n">
        <v>0.0065</v>
      </c>
      <c r="D16" s="11">
        <f>B16 - (C16 * 11000)</f>
        <v/>
      </c>
      <c r="E16" s="43">
        <f>B16-(C16*11000)</f>
        <v/>
      </c>
    </row>
    <row r="17"/>
    <row r="18"/>
    <row r="19">
      <c r="A19" s="44" t="inlineStr">
        <is>
          <t>⚠️ ATENÇÃO À ARMADILHA DO SINAL DE MENOS COM POTÊNCIA NO EXCEL:
• No Excel, o operador unário - tem precedência sobre ^ : digitando =-5^2 o Excel calcula (-5)^2 = 25.
• Na matemática padrão: -5^2 = -(5^2) = -25.
• Boas Práticas: Use SEMPRE parênteses explícitos: =-(5^2) para -25 ou =(-5)^2 para 25!
• Em fórmulas com subtração e multiplicação (como o ISA), o Excel multiplica antes de subtrair automaticamente, mas o uso de parênteses deixa a equação clara e segura.</t>
        </is>
      </c>
    </row>
    <row r="20"/>
    <row r="21"/>
    <row r="22"/>
    <row r="23"/>
  </sheetData>
  <mergeCells count="2">
    <mergeCell ref="A1:G1"/>
    <mergeCell ref="A19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643" customWidth="1" min="1" max="1"/>
    <col width="26" customWidth="1" min="2" max="2"/>
    <col width="46" customWidth="1" min="3" max="3"/>
    <col width="19" customWidth="1" min="4" max="4"/>
    <col width="19" customWidth="1" min="5" max="5"/>
    <col width="23" customWidth="1" min="6" max="6"/>
  </cols>
  <sheetData>
    <row r="1" ht="30" customHeight="1">
      <c r="A1" s="1" t="inlineStr">
        <is>
          <t>ESTATÍSTICA DESCRITIVA NO HANGAR: DIFERENÇA ENTRE MÉDIA E MEDIANA DIANTE DE OUTLIERS</t>
        </is>
      </c>
    </row>
    <row r="2"/>
    <row r="3">
      <c r="A3" s="2" t="inlineStr">
        <is>
          <t>Relatório Semanal de Ordens de Serviço (OS) de Manutenção no Hangar</t>
        </is>
      </c>
    </row>
    <row r="4" ht="25" customHeight="1">
      <c r="A4" s="13" t="inlineStr">
        <is>
          <t>Nº da OS</t>
        </is>
      </c>
      <c r="B4" s="13" t="inlineStr">
        <is>
          <t>Aeronave</t>
        </is>
      </c>
      <c r="C4" s="13" t="inlineStr">
        <is>
          <t>Tipo de Manutenção</t>
        </is>
      </c>
      <c r="D4" s="13" t="inlineStr">
        <is>
          <t>Categoria</t>
        </is>
      </c>
      <c r="E4" s="13" t="inlineStr">
        <is>
          <t>Custo Total (R$)</t>
        </is>
      </c>
      <c r="F4" s="13" t="inlineStr">
        <is>
          <t>Tempo de Box (Horas)</t>
        </is>
      </c>
    </row>
    <row r="5" ht="20" customHeight="1">
      <c r="A5" s="24" t="inlineStr">
        <is>
          <t>OS-101</t>
        </is>
      </c>
      <c r="B5" s="8" t="inlineStr">
        <is>
          <t>Cessna 152 (PR-MNT)</t>
        </is>
      </c>
      <c r="C5" s="8" t="inlineStr">
        <is>
          <t>Troca de Óleo e Filtros</t>
        </is>
      </c>
      <c r="D5" s="16" t="inlineStr">
        <is>
          <t>Preventiva</t>
        </is>
      </c>
      <c r="E5" s="26" t="n">
        <v>1200</v>
      </c>
      <c r="F5" s="25" t="n">
        <v>4</v>
      </c>
    </row>
    <row r="6" ht="20" customHeight="1">
      <c r="A6" s="20" t="inlineStr">
        <is>
          <t>OS-102</t>
        </is>
      </c>
      <c r="B6" s="6" t="inlineStr">
        <is>
          <t>Cessna 172 (PR-ABC)</t>
        </is>
      </c>
      <c r="C6" s="6" t="inlineStr">
        <is>
          <t>Inspeção Periódica 50h</t>
        </is>
      </c>
      <c r="D6" s="45" t="inlineStr">
        <is>
          <t>Preventiva</t>
        </is>
      </c>
      <c r="E6" s="22" t="n">
        <v>1500</v>
      </c>
      <c r="F6" s="21" t="n">
        <v>6</v>
      </c>
    </row>
    <row r="7" ht="20" customHeight="1">
      <c r="A7" s="24" t="inlineStr">
        <is>
          <t>OS-103</t>
        </is>
      </c>
      <c r="B7" s="8" t="inlineStr">
        <is>
          <t>Piper Cherokee (PT-VLM)</t>
        </is>
      </c>
      <c r="C7" s="8" t="inlineStr">
        <is>
          <t>Revisão de Magnetos e Velas</t>
        </is>
      </c>
      <c r="D7" s="16" t="inlineStr">
        <is>
          <t>Preventiva</t>
        </is>
      </c>
      <c r="E7" s="26" t="n">
        <v>1800</v>
      </c>
      <c r="F7" s="25" t="n">
        <v>8</v>
      </c>
    </row>
    <row r="8" ht="20" customHeight="1">
      <c r="A8" s="20" t="inlineStr">
        <is>
          <t>OS-104</t>
        </is>
      </c>
      <c r="B8" s="6" t="inlineStr">
        <is>
          <t>Cirrus SR22 (PP-ZUL)</t>
        </is>
      </c>
      <c r="C8" s="6" t="inlineStr">
        <is>
          <t>Atualização e Calibração Aviônica</t>
        </is>
      </c>
      <c r="D8" s="45" t="inlineStr">
        <is>
          <t>Eletrônica</t>
        </is>
      </c>
      <c r="E8" s="22" t="n">
        <v>2000</v>
      </c>
      <c r="F8" s="21" t="n">
        <v>5</v>
      </c>
    </row>
    <row r="9" ht="20" customHeight="1">
      <c r="A9" s="24" t="inlineStr">
        <is>
          <t>OS-105</t>
        </is>
      </c>
      <c r="B9" s="8" t="inlineStr">
        <is>
          <t>Beech Baron (PR-FTE)</t>
        </is>
      </c>
      <c r="C9" s="8" t="inlineStr">
        <is>
          <t>Alinhamento e Balanceamento de Hélice</t>
        </is>
      </c>
      <c r="D9" s="16" t="inlineStr">
        <is>
          <t>Preventiva</t>
        </is>
      </c>
      <c r="E9" s="26" t="n">
        <v>2500</v>
      </c>
      <c r="F9" s="25" t="n">
        <v>10</v>
      </c>
    </row>
    <row r="10" ht="20" customHeight="1">
      <c r="A10" s="46" t="inlineStr">
        <is>
          <t>OS-106</t>
        </is>
      </c>
      <c r="B10" s="47" t="inlineStr">
        <is>
          <t>King Air C90 (PT-EXP)</t>
        </is>
      </c>
      <c r="C10" s="47" t="inlineStr">
        <is>
          <t>Overhaul Completo de Turbina PT6A (OUTLIER)</t>
        </is>
      </c>
      <c r="D10" s="48" t="inlineStr">
        <is>
          <t>Corretiva Pesada</t>
        </is>
      </c>
      <c r="E10" s="49" t="n">
        <v>120000</v>
      </c>
      <c r="F10" s="50" t="n">
        <v>120</v>
      </c>
    </row>
    <row r="11" ht="22" customHeight="1">
      <c r="A11" s="51" t="inlineStr">
        <is>
          <t>TOTAL GERAL DAS ORDENS DE SERVIÇO</t>
        </is>
      </c>
      <c r="B11" s="52" t="n"/>
      <c r="C11" s="52" t="n"/>
      <c r="D11" s="52" t="n"/>
      <c r="E11" s="53">
        <f>SUM(E5:E10)</f>
        <v/>
      </c>
      <c r="F11" s="54">
        <f>SUM(F5:F10)</f>
        <v/>
      </c>
    </row>
    <row r="12" ht="22" customHeight="1">
      <c r="A12" s="55" t="inlineStr">
        <is>
          <t>MÉDIA ARITMÉTICA (=MÉDIA) — Sensível a Outliers</t>
        </is>
      </c>
      <c r="B12" s="56" t="n"/>
      <c r="C12" s="56" t="n"/>
      <c r="D12" s="56" t="n"/>
      <c r="E12" s="49">
        <f>AVERAGE(E5:E10)</f>
        <v/>
      </c>
      <c r="F12" s="57">
        <f>AVERAGE(F5:F10)</f>
        <v/>
      </c>
    </row>
    <row r="13" ht="22" customHeight="1">
      <c r="A13" s="58" t="inlineStr">
        <is>
          <t>MEDIANA (=MED) — Robusta / Representa o Serviço Típico</t>
        </is>
      </c>
      <c r="B13" s="59" t="n"/>
      <c r="C13" s="59" t="n"/>
      <c r="D13" s="59" t="n"/>
      <c r="E13" s="60">
        <f>MEDIAN(E5:E10)</f>
        <v/>
      </c>
      <c r="F13" s="61">
        <f>MEDIAN(F5:F10)</f>
        <v/>
      </c>
    </row>
    <row r="14"/>
    <row r="15">
      <c r="A15" s="15" t="inlineStr">
        <is>
          <t>ANÁLISE GERENCIAL DA MANUTENÇÃO (MÉDIA vs. MEDIANA):
1. MÉDIA (=MÉDIA(E5:E10) = R$ 21.500,00): A Média foi 'puxada' para cima pelo Overhaul da turbina (R$ 120.000). Nenhum cliente rotineiro pagou 21 mil! Use a média apenas para previsão de caixa financeiro total.
2. MEDIANA (=MED(E5:E10) = R$ 1.900,00): A Mediana é o valor central do conjunto. Ela ignora os extremos e revela com extrema precisão o custo real de uma manutenção típica preventiva no hangar.
3. REGRA DE ENGENHARIA: Use MEDIANA para precificar pacotes de serviços e estimar prazos de entrega padrão (Lead Time), evitando distorções causadas por eventos raros e pontuais.</t>
        </is>
      </c>
    </row>
    <row r="16"/>
    <row r="17"/>
    <row r="18"/>
    <row r="19"/>
    <row r="20"/>
  </sheetData>
  <mergeCells count="5">
    <mergeCell ref="A1:G1"/>
    <mergeCell ref="A12:D12"/>
    <mergeCell ref="A11:D11"/>
    <mergeCell ref="A15:F20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350" customWidth="1" min="1" max="1"/>
    <col width="19" customWidth="1" min="2" max="2"/>
    <col width="25" customWidth="1" min="3" max="3"/>
    <col width="35" customWidth="1" min="4" max="4"/>
  </cols>
  <sheetData>
    <row r="1" ht="30" customHeight="1">
      <c r="A1" s="1" t="inlineStr">
        <is>
          <t>PROGRAMA DE INSTRUÇÃO DE VOO — CONTROLE DE CONSUMO DE COMBUSTÍVEL</t>
        </is>
      </c>
    </row>
    <row r="2"/>
    <row r="3" ht="28" customHeight="1">
      <c r="A3" s="13" t="inlineStr">
        <is>
          <t>Piloto Aluno</t>
        </is>
      </c>
      <c r="B3" s="13" t="inlineStr">
        <is>
          <t>Horas de Voo (h)</t>
        </is>
      </c>
      <c r="C3" s="13" t="inlineStr">
        <is>
          <t>Consumo por Hora (L/h)</t>
        </is>
      </c>
      <c r="D3" s="13" t="inlineStr">
        <is>
          <t>Consumo Total de Combustível (L)</t>
        </is>
      </c>
    </row>
    <row r="4" ht="20" customHeight="1">
      <c r="A4" s="6" t="inlineStr">
        <is>
          <t>Lucas Silveira</t>
        </is>
      </c>
      <c r="B4" s="36" t="n">
        <v>18.5</v>
      </c>
      <c r="C4" s="36" t="n">
        <v>34</v>
      </c>
      <c r="D4" s="62">
        <f>B4*C4</f>
        <v/>
      </c>
    </row>
    <row r="5" ht="20" customHeight="1">
      <c r="A5" s="8" t="inlineStr">
        <is>
          <t>Mariana Duarte</t>
        </is>
      </c>
      <c r="B5" s="33" t="n">
        <v>25</v>
      </c>
      <c r="C5" s="33" t="n">
        <v>36.5</v>
      </c>
      <c r="D5" s="63">
        <f>B5*C5</f>
        <v/>
      </c>
    </row>
    <row r="6" ht="20" customHeight="1">
      <c r="A6" s="6" t="inlineStr">
        <is>
          <t>Carlos Eduardo</t>
        </is>
      </c>
      <c r="B6" s="36" t="n">
        <v>12</v>
      </c>
      <c r="C6" s="36" t="n">
        <v>32</v>
      </c>
      <c r="D6" s="62">
        <f>B6*C6</f>
        <v/>
      </c>
    </row>
    <row r="7" ht="20" customHeight="1">
      <c r="A7" s="8" t="inlineStr">
        <is>
          <t>Beatriz Ramos</t>
        </is>
      </c>
      <c r="B7" s="33" t="n">
        <v>30.5</v>
      </c>
      <c r="C7" s="33" t="n">
        <v>38</v>
      </c>
      <c r="D7" s="63">
        <f>B7*C7</f>
        <v/>
      </c>
    </row>
    <row r="8" ht="20" customHeight="1">
      <c r="A8" s="6" t="inlineStr">
        <is>
          <t>Rodrigo Nogueira</t>
        </is>
      </c>
      <c r="B8" s="36" t="n">
        <v>22</v>
      </c>
      <c r="C8" s="36" t="n">
        <v>35</v>
      </c>
      <c r="D8" s="62">
        <f>B8*C8</f>
        <v/>
      </c>
    </row>
    <row r="9" ht="20" customHeight="1">
      <c r="A9" s="8" t="inlineStr">
        <is>
          <t>Gabriel Souza</t>
        </is>
      </c>
      <c r="B9" s="33" t="n">
        <v>15.5</v>
      </c>
      <c r="C9" s="33" t="n">
        <v>33.5</v>
      </c>
      <c r="D9" s="63">
        <f>B9*C9</f>
        <v/>
      </c>
    </row>
    <row r="10" ht="22" customHeight="1">
      <c r="A10" s="51" t="inlineStr">
        <is>
          <t>TOTAL DE COMBUSTÍVEL CONSUMIDO</t>
        </is>
      </c>
      <c r="B10" s="64">
        <f>SUM(B4:B9)</f>
        <v/>
      </c>
      <c r="C10" s="65" t="inlineStr">
        <is>
          <t>-</t>
        </is>
      </c>
      <c r="D10" s="66">
        <f>SUM(D4:D9)</f>
        <v/>
      </c>
    </row>
    <row r="11" ht="22" customHeight="1">
      <c r="A11" s="19" t="inlineStr">
        <is>
          <t>MÉDIA POR ALUNO</t>
        </is>
      </c>
      <c r="B11" s="67">
        <f>AVERAGE(B4:B9)</f>
        <v/>
      </c>
      <c r="C11" s="68">
        <f>AVERAGE(C4:C9)</f>
        <v/>
      </c>
      <c r="D11" s="69">
        <f>AVERAGE(D4:D9)</f>
        <v/>
      </c>
    </row>
    <row r="12" ht="22" customHeight="1">
      <c r="A12" s="70" t="inlineStr">
        <is>
          <t>MEDIANA POR ALUNO</t>
        </is>
      </c>
      <c r="B12" s="71">
        <f>MEDIAN(B4:B9)</f>
        <v/>
      </c>
      <c r="C12" s="72">
        <f>MEDIAN(C4:C9)</f>
        <v/>
      </c>
      <c r="D12" s="73">
        <f>MEDIAN(D4:D9)</f>
        <v/>
      </c>
    </row>
    <row r="13"/>
    <row r="14">
      <c r="A14" s="15" t="inlineStr">
        <is>
          <t>FÓRMULAS DO EXERCÍCIO DE FIXAÇÃO:
• Consumo Total por Aluno (D4): =B4*C4 (Horas de Voo × Consumo Médio por Hora)
• Total Geral de Horas e Litros (B10 e D10): =SOMA(B4:B9) e =SOMA(D4:D9)
• Médias Operacionais (B11, C11 e D11): =MÉDIA(B4:B9), =MÉDIA(C4:C9) e =MÉDIA(D4:D9)
• Medianas Centrais (B12, C12 e D12): =MED(B4:B9), =MED(C4:C9) e =MED(D4:D9)</t>
        </is>
      </c>
    </row>
    <row r="15"/>
    <row r="16"/>
    <row r="17"/>
  </sheetData>
  <mergeCells count="2">
    <mergeCell ref="A14:D17"/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5" customWidth="1" min="3" max="3"/>
    <col width="35" customWidth="1" min="4" max="4"/>
    <col width="25" customWidth="1" min="5" max="5"/>
    <col width="23" customWidth="1" min="6" max="6"/>
    <col width="23" customWidth="1" min="7" max="7"/>
    <col width="28" customWidth="1" min="8" max="8"/>
    <col width="19" customWidth="1" min="9" max="9"/>
  </cols>
  <sheetData>
    <row r="1" ht="32" customHeight="1">
      <c r="A1" s="1" t="inlineStr">
        <is>
          <t>AEROCLUBE DE SOROCABA — PAINEL GERAL CONSOLIDADO (GABARITO OFICIAL)</t>
        </is>
      </c>
    </row>
    <row r="2"/>
    <row r="3">
      <c r="A3" s="2" t="inlineStr">
        <is>
          <t>1. Controle Operacional de Hangar e Abastecimento</t>
        </is>
      </c>
    </row>
    <row r="4" ht="28" customHeight="1">
      <c r="A4" s="13" t="inlineStr">
        <is>
          <t>Prefixo</t>
        </is>
      </c>
      <c r="B4" s="13" t="inlineStr">
        <is>
          <t>Modelo da Aeronave</t>
        </is>
      </c>
      <c r="C4" s="13" t="inlineStr">
        <is>
          <t>Diárias Hangar</t>
        </is>
      </c>
      <c r="D4" s="13" t="inlineStr">
        <is>
          <t>Valor da Diária (R$)</t>
        </is>
      </c>
      <c r="E4" s="13" t="inlineStr">
        <is>
          <t>Litros Abastecidos (L)</t>
        </is>
      </c>
      <c r="F4" s="13" t="inlineStr">
        <is>
          <t>Preço por Litro (R$)</t>
        </is>
      </c>
      <c r="G4" s="13" t="inlineStr">
        <is>
          <t>Subtotal Hangar (R$)</t>
        </is>
      </c>
      <c r="H4" s="13" t="inlineStr">
        <is>
          <t>Subtotal Combustível (R$)</t>
        </is>
      </c>
      <c r="I4" s="13" t="inlineStr">
        <is>
          <t>Custo Total (R$)</t>
        </is>
      </c>
    </row>
    <row r="5" ht="20" customHeight="1">
      <c r="A5" s="24" t="inlineStr">
        <is>
          <t>PR-ABC</t>
        </is>
      </c>
      <c r="B5" s="8" t="inlineStr">
        <is>
          <t>Cessna 172</t>
        </is>
      </c>
      <c r="C5" s="25" t="n">
        <v>4</v>
      </c>
      <c r="D5" s="26" t="n">
        <v>150</v>
      </c>
      <c r="E5" s="25" t="n">
        <v>120</v>
      </c>
      <c r="F5" s="26" t="n">
        <v>11.5</v>
      </c>
      <c r="G5" s="26">
        <f>C5*D5</f>
        <v/>
      </c>
      <c r="H5" s="26">
        <f>E5*F5</f>
        <v/>
      </c>
      <c r="I5" s="27">
        <f>G5+H5</f>
        <v/>
      </c>
    </row>
    <row r="6" ht="20" customHeight="1">
      <c r="A6" s="20" t="inlineStr">
        <is>
          <t>PT-KRT</t>
        </is>
      </c>
      <c r="B6" s="6" t="inlineStr">
        <is>
          <t>Piper Seneca</t>
        </is>
      </c>
      <c r="C6" s="21" t="n">
        <v>10</v>
      </c>
      <c r="D6" s="22" t="n">
        <v>280</v>
      </c>
      <c r="E6" s="21" t="n">
        <v>350</v>
      </c>
      <c r="F6" s="22" t="n">
        <v>11.5</v>
      </c>
      <c r="G6" s="22">
        <f>C6*D6</f>
        <v/>
      </c>
      <c r="H6" s="22">
        <f>E6*F6</f>
        <v/>
      </c>
      <c r="I6" s="23">
        <f>G6+H6</f>
        <v/>
      </c>
    </row>
    <row r="7" ht="20" customHeight="1">
      <c r="A7" s="24" t="inlineStr">
        <is>
          <t>PR-FTE</t>
        </is>
      </c>
      <c r="B7" s="8" t="inlineStr">
        <is>
          <t>Beech Baron</t>
        </is>
      </c>
      <c r="C7" s="25" t="n">
        <v>7</v>
      </c>
      <c r="D7" s="26" t="n">
        <v>320</v>
      </c>
      <c r="E7" s="25" t="n">
        <v>280</v>
      </c>
      <c r="F7" s="26" t="n">
        <v>11.5</v>
      </c>
      <c r="G7" s="26">
        <f>C7*D7</f>
        <v/>
      </c>
      <c r="H7" s="26">
        <f>E7*F7</f>
        <v/>
      </c>
      <c r="I7" s="27">
        <f>G7+H7</f>
        <v/>
      </c>
    </row>
    <row r="8" ht="20" customHeight="1">
      <c r="A8" s="20" t="inlineStr">
        <is>
          <t>PP-ZUL</t>
        </is>
      </c>
      <c r="B8" s="6" t="inlineStr">
        <is>
          <t>Cirrus SR22</t>
        </is>
      </c>
      <c r="C8" s="21" t="n">
        <v>3</v>
      </c>
      <c r="D8" s="22" t="n">
        <v>220</v>
      </c>
      <c r="E8" s="21" t="n">
        <v>160</v>
      </c>
      <c r="F8" s="22" t="n">
        <v>11.5</v>
      </c>
      <c r="G8" s="22">
        <f>C8*D8</f>
        <v/>
      </c>
      <c r="H8" s="22">
        <f>E8*F8</f>
        <v/>
      </c>
      <c r="I8" s="23">
        <f>G8+H8</f>
        <v/>
      </c>
    </row>
    <row r="9" ht="20" customHeight="1">
      <c r="A9" s="24" t="inlineStr">
        <is>
          <t>PR-MNT</t>
        </is>
      </c>
      <c r="B9" s="8" t="inlineStr">
        <is>
          <t>Cessna 152</t>
        </is>
      </c>
      <c r="C9" s="25" t="n">
        <v>15</v>
      </c>
      <c r="D9" s="26" t="n">
        <v>120</v>
      </c>
      <c r="E9" s="25" t="n">
        <v>90</v>
      </c>
      <c r="F9" s="26" t="n">
        <v>11.5</v>
      </c>
      <c r="G9" s="26">
        <f>C9*D9</f>
        <v/>
      </c>
      <c r="H9" s="26">
        <f>E9*F9</f>
        <v/>
      </c>
      <c r="I9" s="27">
        <f>G9+H9</f>
        <v/>
      </c>
    </row>
    <row r="10" ht="22" customHeight="1">
      <c r="A10" s="28" t="inlineStr">
        <is>
          <t>TOTAL GERAL</t>
        </is>
      </c>
      <c r="B10" s="29" t="n"/>
      <c r="C10" s="29" t="n"/>
      <c r="D10" s="29" t="n"/>
      <c r="E10" s="29" t="n"/>
      <c r="F10" s="29" t="n"/>
      <c r="G10" s="30">
        <f>SUM(G5:G9)</f>
        <v/>
      </c>
      <c r="H10" s="30">
        <f>SUM(H5:H9)</f>
        <v/>
      </c>
      <c r="I10" s="31">
        <f>SUM(I5:I9)</f>
        <v/>
      </c>
    </row>
    <row r="11"/>
    <row r="12"/>
    <row r="13">
      <c r="A13" s="2" t="inlineStr">
        <is>
          <t>2. Controle de Consumo da Instrução Prática (Exercício de Fixação)</t>
        </is>
      </c>
    </row>
    <row r="14" ht="28" customHeight="1">
      <c r="A14" s="18" t="inlineStr">
        <is>
          <t>Piloto Aluno</t>
        </is>
      </c>
      <c r="B14" s="18" t="inlineStr">
        <is>
          <t>Horas de Voo (h)</t>
        </is>
      </c>
      <c r="C14" s="18" t="inlineStr">
        <is>
          <t>Consumo por Hora (L/h)</t>
        </is>
      </c>
      <c r="D14" s="18" t="inlineStr">
        <is>
          <t>Consumo Total de Combustível (L)</t>
        </is>
      </c>
    </row>
    <row r="15" ht="20" customHeight="1">
      <c r="A15" s="8" t="inlineStr">
        <is>
          <t>Lucas Silveira</t>
        </is>
      </c>
      <c r="B15" s="33" t="n">
        <v>18.5</v>
      </c>
      <c r="C15" s="33" t="n">
        <v>34</v>
      </c>
      <c r="D15" s="63">
        <f>B15*C15</f>
        <v/>
      </c>
    </row>
    <row r="16" ht="20" customHeight="1">
      <c r="A16" s="6" t="inlineStr">
        <is>
          <t>Mariana Duarte</t>
        </is>
      </c>
      <c r="B16" s="36" t="n">
        <v>25</v>
      </c>
      <c r="C16" s="36" t="n">
        <v>36.5</v>
      </c>
      <c r="D16" s="62">
        <f>B16*C16</f>
        <v/>
      </c>
    </row>
    <row r="17" ht="20" customHeight="1">
      <c r="A17" s="8" t="inlineStr">
        <is>
          <t>Carlos Eduardo</t>
        </is>
      </c>
      <c r="B17" s="33" t="n">
        <v>12</v>
      </c>
      <c r="C17" s="33" t="n">
        <v>32</v>
      </c>
      <c r="D17" s="63">
        <f>B17*C17</f>
        <v/>
      </c>
    </row>
    <row r="18" ht="20" customHeight="1">
      <c r="A18" s="6" t="inlineStr">
        <is>
          <t>Beatriz Ramos</t>
        </is>
      </c>
      <c r="B18" s="36" t="n">
        <v>30.5</v>
      </c>
      <c r="C18" s="36" t="n">
        <v>38</v>
      </c>
      <c r="D18" s="62">
        <f>B18*C18</f>
        <v/>
      </c>
    </row>
    <row r="19" ht="20" customHeight="1">
      <c r="A19" s="8" t="inlineStr">
        <is>
          <t>Rodrigo Nogueira</t>
        </is>
      </c>
      <c r="B19" s="33" t="n">
        <v>22</v>
      </c>
      <c r="C19" s="33" t="n">
        <v>35</v>
      </c>
      <c r="D19" s="63">
        <f>B19*C19</f>
        <v/>
      </c>
    </row>
    <row r="20" ht="20" customHeight="1">
      <c r="A20" s="6" t="inlineStr">
        <is>
          <t>Gabriel Souza</t>
        </is>
      </c>
      <c r="B20" s="36" t="n">
        <v>15.5</v>
      </c>
      <c r="C20" s="36" t="n">
        <v>33.5</v>
      </c>
      <c r="D20" s="62">
        <f>B20*C20</f>
        <v/>
      </c>
    </row>
    <row r="21" ht="22" customHeight="1">
      <c r="A21" s="51" t="inlineStr">
        <is>
          <t>TOTAL DE COMBUSTÍVEL</t>
        </is>
      </c>
      <c r="B21" s="64">
        <f>SUM(B15:B20)</f>
        <v/>
      </c>
      <c r="C21" s="65" t="inlineStr">
        <is>
          <t>-</t>
        </is>
      </c>
      <c r="D21" s="66">
        <f>SUM(D15:D20)</f>
        <v/>
      </c>
    </row>
    <row r="22" ht="22" customHeight="1">
      <c r="A22" s="19" t="inlineStr">
        <is>
          <t>MÉDIA POR ALUNO</t>
        </is>
      </c>
      <c r="B22" s="67">
        <f>AVERAGE(B15:B20)</f>
        <v/>
      </c>
      <c r="C22" s="68">
        <f>AVERAGE(C15:C20)</f>
        <v/>
      </c>
      <c r="D22" s="69">
        <f>AVERAGE(D15:D20)</f>
        <v/>
      </c>
    </row>
    <row r="23" ht="22" customHeight="1">
      <c r="A23" s="70" t="inlineStr">
        <is>
          <t>MEDIANA POR ALUNO</t>
        </is>
      </c>
      <c r="B23" s="71">
        <f>MEDIAN(B15:B20)</f>
        <v/>
      </c>
      <c r="C23" s="72">
        <f>MEDIAN(C15:C20)</f>
        <v/>
      </c>
      <c r="D23" s="73">
        <f>MEDIAN(D15:D20)</f>
        <v/>
      </c>
    </row>
  </sheetData>
  <mergeCells count="2">
    <mergeCell ref="A1:I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2026-09-04T00:25:58Z</dcterms:created>
  <dcterms:modified xmlns:dcterms="http://purl.org/dc/terms/" xmlns:xsi="http://www.w3.org/2001/XMLSchema-instance" xsi:type="dcterms:W3CDTF">2026-09-04T00:25:58Z</dcterms:modified>
</cp:coreProperties>
</file>